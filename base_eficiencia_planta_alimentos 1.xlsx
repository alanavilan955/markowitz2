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F843D8A2-BF7E-4E8F-B73F-B9106142970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se_Datos" sheetId="1" r:id="rId1"/>
    <sheet name="Diccionario" sheetId="2" r:id="rId2"/>
    <sheet name="Resumen" sheetId="3" r:id="rId3"/>
    <sheet name="Correlacion" sheetId="4" r:id="rId4"/>
    <sheet name="Instrucciones" sheetId="5" r:id="rId5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</calcChain>
</file>

<file path=xl/sharedStrings.xml><?xml version="1.0" encoding="utf-8"?>
<sst xmlns="http://schemas.openxmlformats.org/spreadsheetml/2006/main" count="1936" uniqueCount="321">
  <si>
    <t>Fecha</t>
  </si>
  <si>
    <t>Planta</t>
  </si>
  <si>
    <t>Linea</t>
  </si>
  <si>
    <t>Turno</t>
  </si>
  <si>
    <t>SKU</t>
  </si>
  <si>
    <t>Categoria</t>
  </si>
  <si>
    <t>Volumen_Programado_t</t>
  </si>
  <si>
    <t>Volumen_Producido_t</t>
  </si>
  <si>
    <t>Materia_Prima_t</t>
  </si>
  <si>
    <t>Horas_Disponibles</t>
  </si>
  <si>
    <t>Horas_Productivas</t>
  </si>
  <si>
    <t>Paros_min</t>
  </si>
  <si>
    <t>Personal_FTE</t>
  </si>
  <si>
    <t>Horas_Mano_Obra</t>
  </si>
  <si>
    <t>Energia_kWh</t>
  </si>
  <si>
    <t>Merma_pct</t>
  </si>
  <si>
    <t>Yield_pct</t>
  </si>
  <si>
    <t>Reproceso_pct</t>
  </si>
  <si>
    <t>Rechazo_Calidad_pct</t>
  </si>
  <si>
    <t>Utilizacion_pct</t>
  </si>
  <si>
    <t>OEE_pct</t>
  </si>
  <si>
    <t>Cumplimiento_Plan_pct</t>
  </si>
  <si>
    <t>Eficiencia_Laboral_t_hh</t>
  </si>
  <si>
    <t>Costo_MP_MXN</t>
  </si>
  <si>
    <t>Costo_MO_MXN</t>
  </si>
  <si>
    <t>Costo_Energia_MXN</t>
  </si>
  <si>
    <t>Costo_Total_MXN</t>
  </si>
  <si>
    <t>Costo_por_t_MXN</t>
  </si>
  <si>
    <t>Lote</t>
  </si>
  <si>
    <t>Observacion</t>
  </si>
  <si>
    <t>Planta Alimentos MX</t>
  </si>
  <si>
    <t>L4-Empaque</t>
  </si>
  <si>
    <t>1</t>
  </si>
  <si>
    <t>CON-002</t>
  </si>
  <si>
    <t>Conservas</t>
  </si>
  <si>
    <t>L250922-001</t>
  </si>
  <si>
    <t>Cambio de formato</t>
  </si>
  <si>
    <t>3</t>
  </si>
  <si>
    <t>SAL-001</t>
  </si>
  <si>
    <t>Salsas</t>
  </si>
  <si>
    <t>L250923-002</t>
  </si>
  <si>
    <t>Ajuste de calidad</t>
  </si>
  <si>
    <t>L250924-003</t>
  </si>
  <si>
    <t>Operacion normal</t>
  </si>
  <si>
    <t>L1-Salsas</t>
  </si>
  <si>
    <t>2</t>
  </si>
  <si>
    <t>COM-003</t>
  </si>
  <si>
    <t>Comidas preparadas</t>
  </si>
  <si>
    <t>L250925-004</t>
  </si>
  <si>
    <t>Mantenimiento menor</t>
  </si>
  <si>
    <t>EMP-004</t>
  </si>
  <si>
    <t>Empaque</t>
  </si>
  <si>
    <t>L250926-005</t>
  </si>
  <si>
    <t>L250927-006</t>
  </si>
  <si>
    <t>L250928-007</t>
  </si>
  <si>
    <t>L250929-008</t>
  </si>
  <si>
    <t>L3-Comidas</t>
  </si>
  <si>
    <t>L250930-009</t>
  </si>
  <si>
    <t>L251001-010</t>
  </si>
  <si>
    <t>L251002-011</t>
  </si>
  <si>
    <t>L251003-012</t>
  </si>
  <si>
    <t>L251004-013</t>
  </si>
  <si>
    <t>L251005-014</t>
  </si>
  <si>
    <t>L2-Conservas</t>
  </si>
  <si>
    <t>L251006-015</t>
  </si>
  <si>
    <t>L251007-016</t>
  </si>
  <si>
    <t>L251008-017</t>
  </si>
  <si>
    <t>L251009-018</t>
  </si>
  <si>
    <t>L251010-019</t>
  </si>
  <si>
    <t>L251011-020</t>
  </si>
  <si>
    <t>L251012-021</t>
  </si>
  <si>
    <t>L251013-022</t>
  </si>
  <si>
    <t>L251014-023</t>
  </si>
  <si>
    <t>L251015-024</t>
  </si>
  <si>
    <t>L251016-025</t>
  </si>
  <si>
    <t>L251017-026</t>
  </si>
  <si>
    <t>L251018-027</t>
  </si>
  <si>
    <t>L251019-028</t>
  </si>
  <si>
    <t>L251020-029</t>
  </si>
  <si>
    <t>L251021-030</t>
  </si>
  <si>
    <t>L251022-031</t>
  </si>
  <si>
    <t>L251023-032</t>
  </si>
  <si>
    <t>L251024-033</t>
  </si>
  <si>
    <t>L251025-034</t>
  </si>
  <si>
    <t>L251026-035</t>
  </si>
  <si>
    <t>L251027-036</t>
  </si>
  <si>
    <t>L251028-037</t>
  </si>
  <si>
    <t>L251029-038</t>
  </si>
  <si>
    <t>L251030-039</t>
  </si>
  <si>
    <t>L251031-040</t>
  </si>
  <si>
    <t>L251101-041</t>
  </si>
  <si>
    <t>L251102-042</t>
  </si>
  <si>
    <t>L251103-043</t>
  </si>
  <si>
    <t>L251104-044</t>
  </si>
  <si>
    <t>L251105-045</t>
  </si>
  <si>
    <t>L251106-046</t>
  </si>
  <si>
    <t>L251107-047</t>
  </si>
  <si>
    <t>L251108-048</t>
  </si>
  <si>
    <t>L251109-049</t>
  </si>
  <si>
    <t>L251110-050</t>
  </si>
  <si>
    <t>L251111-051</t>
  </si>
  <si>
    <t>L251112-052</t>
  </si>
  <si>
    <t>L251113-053</t>
  </si>
  <si>
    <t>L251114-054</t>
  </si>
  <si>
    <t>L251115-055</t>
  </si>
  <si>
    <t>L251116-056</t>
  </si>
  <si>
    <t>L251117-057</t>
  </si>
  <si>
    <t>L251118-058</t>
  </si>
  <si>
    <t>L251119-059</t>
  </si>
  <si>
    <t>L251120-060</t>
  </si>
  <si>
    <t>L251121-061</t>
  </si>
  <si>
    <t>L251122-062</t>
  </si>
  <si>
    <t>L251123-063</t>
  </si>
  <si>
    <t>L251124-064</t>
  </si>
  <si>
    <t>L251125-065</t>
  </si>
  <si>
    <t>L251126-066</t>
  </si>
  <si>
    <t>L251127-067</t>
  </si>
  <si>
    <t>L251128-068</t>
  </si>
  <si>
    <t>L251129-069</t>
  </si>
  <si>
    <t>L251130-070</t>
  </si>
  <si>
    <t>L251201-071</t>
  </si>
  <si>
    <t>L251202-072</t>
  </si>
  <si>
    <t>L251203-073</t>
  </si>
  <si>
    <t>L251204-074</t>
  </si>
  <si>
    <t>L251205-075</t>
  </si>
  <si>
    <t>L251206-076</t>
  </si>
  <si>
    <t>L251207-077</t>
  </si>
  <si>
    <t>L251208-078</t>
  </si>
  <si>
    <t>L251209-079</t>
  </si>
  <si>
    <t>L251210-080</t>
  </si>
  <si>
    <t>L251211-081</t>
  </si>
  <si>
    <t>L251212-082</t>
  </si>
  <si>
    <t>L251213-083</t>
  </si>
  <si>
    <t>L251214-084</t>
  </si>
  <si>
    <t>L251215-085</t>
  </si>
  <si>
    <t>L251216-086</t>
  </si>
  <si>
    <t>L251217-087</t>
  </si>
  <si>
    <t>L251218-088</t>
  </si>
  <si>
    <t>L251219-089</t>
  </si>
  <si>
    <t>L251220-090</t>
  </si>
  <si>
    <t>L251221-091</t>
  </si>
  <si>
    <t>L251222-092</t>
  </si>
  <si>
    <t>L251223-093</t>
  </si>
  <si>
    <t>L251224-094</t>
  </si>
  <si>
    <t>L251225-095</t>
  </si>
  <si>
    <t>L251226-096</t>
  </si>
  <si>
    <t>L251227-097</t>
  </si>
  <si>
    <t>L251228-098</t>
  </si>
  <si>
    <t>L251229-099</t>
  </si>
  <si>
    <t>L251230-100</t>
  </si>
  <si>
    <t>L251231-101</t>
  </si>
  <si>
    <t>L260101-102</t>
  </si>
  <si>
    <t>L260102-103</t>
  </si>
  <si>
    <t>L260103-104</t>
  </si>
  <si>
    <t>L260104-105</t>
  </si>
  <si>
    <t>L260105-106</t>
  </si>
  <si>
    <t>L260106-107</t>
  </si>
  <si>
    <t>L260107-108</t>
  </si>
  <si>
    <t>L260108-109</t>
  </si>
  <si>
    <t>L260109-110</t>
  </si>
  <si>
    <t>L260110-111</t>
  </si>
  <si>
    <t>L260111-112</t>
  </si>
  <si>
    <t>L260112-113</t>
  </si>
  <si>
    <t>L260113-114</t>
  </si>
  <si>
    <t>L260114-115</t>
  </si>
  <si>
    <t>L260115-116</t>
  </si>
  <si>
    <t>L260116-117</t>
  </si>
  <si>
    <t>L260117-118</t>
  </si>
  <si>
    <t>L260118-119</t>
  </si>
  <si>
    <t>L260119-120</t>
  </si>
  <si>
    <t>L260120-121</t>
  </si>
  <si>
    <t>L260121-122</t>
  </si>
  <si>
    <t>L260122-123</t>
  </si>
  <si>
    <t>L260123-124</t>
  </si>
  <si>
    <t>L260124-125</t>
  </si>
  <si>
    <t>L260125-126</t>
  </si>
  <si>
    <t>L260126-127</t>
  </si>
  <si>
    <t>L260127-128</t>
  </si>
  <si>
    <t>L260128-129</t>
  </si>
  <si>
    <t>L260129-130</t>
  </si>
  <si>
    <t>L260130-131</t>
  </si>
  <si>
    <t>L260131-132</t>
  </si>
  <si>
    <t>L260201-133</t>
  </si>
  <si>
    <t>L260202-134</t>
  </si>
  <si>
    <t>L260203-135</t>
  </si>
  <si>
    <t>L260204-136</t>
  </si>
  <si>
    <t>L260205-137</t>
  </si>
  <si>
    <t>L260206-138</t>
  </si>
  <si>
    <t>L260207-139</t>
  </si>
  <si>
    <t>L260208-140</t>
  </si>
  <si>
    <t>L260209-141</t>
  </si>
  <si>
    <t>L260210-142</t>
  </si>
  <si>
    <t>L260211-143</t>
  </si>
  <si>
    <t>L260212-144</t>
  </si>
  <si>
    <t>L260213-145</t>
  </si>
  <si>
    <t>L260214-146</t>
  </si>
  <si>
    <t>L260215-147</t>
  </si>
  <si>
    <t>L260216-148</t>
  </si>
  <si>
    <t>L260217-149</t>
  </si>
  <si>
    <t>L260218-150</t>
  </si>
  <si>
    <t>L260219-151</t>
  </si>
  <si>
    <t>L260220-152</t>
  </si>
  <si>
    <t>L260221-153</t>
  </si>
  <si>
    <t>L260222-154</t>
  </si>
  <si>
    <t>L260223-155</t>
  </si>
  <si>
    <t>L260224-156</t>
  </si>
  <si>
    <t>L260225-157</t>
  </si>
  <si>
    <t>L260226-158</t>
  </si>
  <si>
    <t>L260227-159</t>
  </si>
  <si>
    <t>L260228-160</t>
  </si>
  <si>
    <t>L260301-161</t>
  </si>
  <si>
    <t>L260302-162</t>
  </si>
  <si>
    <t>L260303-163</t>
  </si>
  <si>
    <t>L260304-164</t>
  </si>
  <si>
    <t>L260305-165</t>
  </si>
  <si>
    <t>L260306-166</t>
  </si>
  <si>
    <t>L260307-167</t>
  </si>
  <si>
    <t>L260308-168</t>
  </si>
  <si>
    <t>L260309-169</t>
  </si>
  <si>
    <t>L260310-170</t>
  </si>
  <si>
    <t>L260311-171</t>
  </si>
  <si>
    <t>L260312-172</t>
  </si>
  <si>
    <t>L260313-173</t>
  </si>
  <si>
    <t>L260314-174</t>
  </si>
  <si>
    <t>L260315-175</t>
  </si>
  <si>
    <t>L260316-176</t>
  </si>
  <si>
    <t>L260317-177</t>
  </si>
  <si>
    <t>L260318-178</t>
  </si>
  <si>
    <t>L260319-179</t>
  </si>
  <si>
    <t>L260320-180</t>
  </si>
  <si>
    <t>L260321-181</t>
  </si>
  <si>
    <t>L260322-182</t>
  </si>
  <si>
    <t>L260323-183</t>
  </si>
  <si>
    <t>L260324-184</t>
  </si>
  <si>
    <t>L260325-185</t>
  </si>
  <si>
    <t>L260326-186</t>
  </si>
  <si>
    <t>L260327-187</t>
  </si>
  <si>
    <t>L260328-188</t>
  </si>
  <si>
    <t>L260329-189</t>
  </si>
  <si>
    <t>L260330-190</t>
  </si>
  <si>
    <t>L260331-191</t>
  </si>
  <si>
    <t>L260401-192</t>
  </si>
  <si>
    <t>L260402-193</t>
  </si>
  <si>
    <t>L260403-194</t>
  </si>
  <si>
    <t>L260404-195</t>
  </si>
  <si>
    <t>L260405-196</t>
  </si>
  <si>
    <t>L260406-197</t>
  </si>
  <si>
    <t>L260407-198</t>
  </si>
  <si>
    <t>L260408-199</t>
  </si>
  <si>
    <t>L260409-200</t>
  </si>
  <si>
    <t>L260410-201</t>
  </si>
  <si>
    <t>L260411-202</t>
  </si>
  <si>
    <t>L260412-203</t>
  </si>
  <si>
    <t>L260413-204</t>
  </si>
  <si>
    <t>L260414-205</t>
  </si>
  <si>
    <t>L260415-206</t>
  </si>
  <si>
    <t>L260416-207</t>
  </si>
  <si>
    <t>L260417-208</t>
  </si>
  <si>
    <t>L260418-209</t>
  </si>
  <si>
    <t>L260419-210</t>
  </si>
  <si>
    <t>L260420-211</t>
  </si>
  <si>
    <t>L260421-212</t>
  </si>
  <si>
    <t>L260422-213</t>
  </si>
  <si>
    <t>L260423-214</t>
  </si>
  <si>
    <t>L260424-215</t>
  </si>
  <si>
    <t>L260425-216</t>
  </si>
  <si>
    <t>L260426-217</t>
  </si>
  <si>
    <t>L260427-218</t>
  </si>
  <si>
    <t>L260428-219</t>
  </si>
  <si>
    <t>L260429-220</t>
  </si>
  <si>
    <t>L260430-221</t>
  </si>
  <si>
    <t>L260501-222</t>
  </si>
  <si>
    <t>L260502-223</t>
  </si>
  <si>
    <t>L260503-224</t>
  </si>
  <si>
    <t>L260504-225</t>
  </si>
  <si>
    <t>L260505-226</t>
  </si>
  <si>
    <t>L260506-227</t>
  </si>
  <si>
    <t>L260507-228</t>
  </si>
  <si>
    <t>L260508-229</t>
  </si>
  <si>
    <t>L260509-230</t>
  </si>
  <si>
    <t>L260510-231</t>
  </si>
  <si>
    <t>L260511-232</t>
  </si>
  <si>
    <t>L260512-233</t>
  </si>
  <si>
    <t>L260513-234</t>
  </si>
  <si>
    <t>L260514-235</t>
  </si>
  <si>
    <t>L260515-236</t>
  </si>
  <si>
    <t>L260516-237</t>
  </si>
  <si>
    <t>L260517-238</t>
  </si>
  <si>
    <t>L260518-239</t>
  </si>
  <si>
    <t>L260519-240</t>
  </si>
  <si>
    <t>L260520-241</t>
  </si>
  <si>
    <t>L260521-242</t>
  </si>
  <si>
    <t>L260522-243</t>
  </si>
  <si>
    <t>L260523-244</t>
  </si>
  <si>
    <t>L260524-245</t>
  </si>
  <si>
    <t>L260525-246</t>
  </si>
  <si>
    <t>L260526-247</t>
  </si>
  <si>
    <t>L260527-248</t>
  </si>
  <si>
    <t>L260528-249</t>
  </si>
  <si>
    <t>L260529-250</t>
  </si>
  <si>
    <t>L260530-251</t>
  </si>
  <si>
    <t>L260531-252</t>
  </si>
  <si>
    <t>L260601-253</t>
  </si>
  <si>
    <t>L260602-254</t>
  </si>
  <si>
    <t>L260603-255</t>
  </si>
  <si>
    <t>L260604-256</t>
  </si>
  <si>
    <t>L260605-257</t>
  </si>
  <si>
    <t>L260606-258</t>
  </si>
  <si>
    <t>L260607-259</t>
  </si>
  <si>
    <t>L260608-260</t>
  </si>
  <si>
    <t>Campo</t>
  </si>
  <si>
    <t>Descripcion</t>
  </si>
  <si>
    <t>Variable de entrada o indicador para el analisis de eficiencia de produccion</t>
  </si>
  <si>
    <t>TABLERO DE EFICIENCIA</t>
  </si>
  <si>
    <t>Volumen producido (t)</t>
  </si>
  <si>
    <t>Yield promedio</t>
  </si>
  <si>
    <t>OEE promedio</t>
  </si>
  <si>
    <t>Eficiencia laboral</t>
  </si>
  <si>
    <t>Costo por t</t>
  </si>
  <si>
    <t>Variable</t>
  </si>
  <si>
    <t>Base sintetica para analisis de eficiencia. Reemplaza los datos conservando los encabezados. No incluye optimizacion Markowitz/Malkowitz.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</si>
</sst>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dd/mm/yyyy"/>
    <numFmt numFmtId="166" formatCode="#,##0.00;[Red]\(#,##0.00\);\-"/>
    <numFmt numFmtId="167" formatCode="0.0%"/>
    <numFmt numFmtId="168" formatCode="\$#,##0;[Red]\(\$#,##0\);\-"/>
    <numFmt numFmtId="169" formatCode="#,##0.0"/>
    <numFmt numFmtId="170" formatCode="0.000"/>
    <numFmt numFmtId="171" formatCode="\$#,##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b/>
      <sz val="15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wrapText="1"/>
    </xf>
    <xf numFmtId="165" fontId="2" fillId="0" borderId="0" xfId="0" applyNumberFormat="1" applyFont="1"/>
    <xf numFmtId="0" fontId="2" fillId="0" borderId="0" xfId="0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0" fontId="1" fillId="2" borderId="0" xfId="0" applyFont="1" applyFill="1"/>
    <xf numFmtId="169" fontId="0" fillId="0" borderId="0" xfId="0" applyNumberFormat="1"/>
    <xf numFmtId="167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0" fillId="0" borderId="0" xfId="0" applyAlignment="1">
      <alignment wrapText="1"/>
    </xf>
    <xf numFmtId="0" fontId="3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ficiencia" displayName="tblEficiencia" ref="A1:AD261">
  <autoFilter ref="A1:AD261" xr:uid="{00000000-0009-0000-0100-000001000000}"/>
  <tableColumns count="30">
    <tableColumn id="1" xr3:uid="{00000000-0010-0000-0000-000001000000}" name="Fecha"/>
    <tableColumn id="2" xr3:uid="{00000000-0010-0000-0000-000002000000}" name="Planta"/>
    <tableColumn id="3" xr3:uid="{00000000-0010-0000-0000-000003000000}" name="Linea"/>
    <tableColumn id="4" xr3:uid="{00000000-0010-0000-0000-000004000000}" name="Turno"/>
    <tableColumn id="5" xr3:uid="{00000000-0010-0000-0000-000005000000}" name="SKU"/>
    <tableColumn id="6" xr3:uid="{00000000-0010-0000-0000-000006000000}" name="Categoria"/>
    <tableColumn id="7" xr3:uid="{00000000-0010-0000-0000-000007000000}" name="Volumen_Programado_t"/>
    <tableColumn id="8" xr3:uid="{00000000-0010-0000-0000-000008000000}" name="Volumen_Producido_t"/>
    <tableColumn id="9" xr3:uid="{00000000-0010-0000-0000-000009000000}" name="Materia_Prima_t"/>
    <tableColumn id="10" xr3:uid="{00000000-0010-0000-0000-00000A000000}" name="Horas_Disponibles"/>
    <tableColumn id="11" xr3:uid="{00000000-0010-0000-0000-00000B000000}" name="Horas_Productivas"/>
    <tableColumn id="12" xr3:uid="{00000000-0010-0000-0000-00000C000000}" name="Paros_min"/>
    <tableColumn id="13" xr3:uid="{00000000-0010-0000-0000-00000D000000}" name="Personal_FTE"/>
    <tableColumn id="14" xr3:uid="{00000000-0010-0000-0000-00000E000000}" name="Horas_Mano_Obra"/>
    <tableColumn id="15" xr3:uid="{00000000-0010-0000-0000-00000F000000}" name="Energia_kWh"/>
    <tableColumn id="16" xr3:uid="{00000000-0010-0000-0000-000010000000}" name="Merma_pct"/>
    <tableColumn id="17" xr3:uid="{00000000-0010-0000-0000-000011000000}" name="Yield_pct"/>
    <tableColumn id="18" xr3:uid="{00000000-0010-0000-0000-000012000000}" name="Reproceso_pct"/>
    <tableColumn id="19" xr3:uid="{00000000-0010-0000-0000-000013000000}" name="Rechazo_Calidad_pct"/>
    <tableColumn id="20" xr3:uid="{00000000-0010-0000-0000-000014000000}" name="Utilizacion_pct"/>
    <tableColumn id="21" xr3:uid="{00000000-0010-0000-0000-000015000000}" name="OEE_pct"/>
    <tableColumn id="22" xr3:uid="{00000000-0010-0000-0000-000016000000}" name="Cumplimiento_Plan_pct"/>
    <tableColumn id="23" xr3:uid="{00000000-0010-0000-0000-000017000000}" name="Eficiencia_Laboral_t_hh"/>
    <tableColumn id="24" xr3:uid="{00000000-0010-0000-0000-000018000000}" name="Costo_MP_MXN"/>
    <tableColumn id="25" xr3:uid="{00000000-0010-0000-0000-000019000000}" name="Costo_MO_MXN"/>
    <tableColumn id="26" xr3:uid="{00000000-0010-0000-0000-00001A000000}" name="Costo_Energia_MXN"/>
    <tableColumn id="27" xr3:uid="{00000000-0010-0000-0000-00001B000000}" name="Costo_Total_MXN"/>
    <tableColumn id="28" xr3:uid="{00000000-0010-0000-0000-00001C000000}" name="Costo_por_t_MXN"/>
    <tableColumn id="29" xr3:uid="{00000000-0010-0000-0000-00001D000000}" name="Lote"/>
    <tableColumn id="30" xr3:uid="{00000000-0010-0000-0000-00001E000000}" name="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6" width="12" customWidth="1"/>
    <col min="7" max="7" width="22" customWidth="1"/>
    <col min="8" max="8" width="21" customWidth="1"/>
    <col min="9" max="9" width="17" customWidth="1"/>
    <col min="10" max="11" width="19" customWidth="1"/>
    <col min="12" max="12" width="12" customWidth="1"/>
    <col min="13" max="13" width="14" customWidth="1"/>
    <col min="14" max="14" width="17" customWidth="1"/>
    <col min="15" max="15" width="13" customWidth="1"/>
    <col min="16" max="17" width="12" customWidth="1"/>
    <col min="18" max="18" width="15" customWidth="1"/>
    <col min="19" max="19" width="21" customWidth="1"/>
    <col min="20" max="20" width="17" customWidth="1"/>
    <col min="21" max="21" width="12" customWidth="1"/>
    <col min="22" max="22" width="23" customWidth="1"/>
    <col min="23" max="23" width="24" customWidth="1"/>
    <col min="24" max="25" width="14" customWidth="1"/>
    <col min="26" max="26" width="19" customWidth="1"/>
    <col min="27" max="28" width="17" customWidth="1"/>
    <col min="29" max="29" width="12" customWidth="1"/>
    <col min="30" max="30" width="13" customWidth="1"/>
  </cols>
  <sheetData>
    <row r="1" spans="1:30" ht="35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45922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4">
        <v>89.736509256383727</v>
      </c>
      <c r="H2" s="4">
        <v>119.5295455144237</v>
      </c>
      <c r="I2" s="4">
        <v>123.7730675683818</v>
      </c>
      <c r="J2" s="4">
        <v>7.8392591357638102</v>
      </c>
      <c r="K2" s="4">
        <v>7.680681759583277</v>
      </c>
      <c r="L2" s="4">
        <v>9.5146425708319882</v>
      </c>
      <c r="M2" s="4">
        <v>16.406844542226182</v>
      </c>
      <c r="N2" s="4">
        <v>126.0157516077951</v>
      </c>
      <c r="O2" s="4">
        <v>2134.1078672981071</v>
      </c>
      <c r="P2" s="5">
        <v>3.4284696479819722E-2</v>
      </c>
      <c r="Q2" s="5">
        <v>0.96571530352018031</v>
      </c>
      <c r="R2" s="5">
        <v>1.6642538674141949E-2</v>
      </c>
      <c r="S2" s="5">
        <v>1.1194828218333589E-2</v>
      </c>
      <c r="T2" s="5">
        <v>0.77425134329217671</v>
      </c>
      <c r="U2" s="5">
        <v>0.78760188344982318</v>
      </c>
      <c r="V2" s="5">
        <v>1.3320057410849251</v>
      </c>
      <c r="W2" s="4">
        <v>0.94852860844286568</v>
      </c>
      <c r="X2" s="6">
        <v>91935.098872755174</v>
      </c>
      <c r="Y2" s="6">
        <v>21309.391296036261</v>
      </c>
      <c r="Z2" s="6">
        <v>5851.8802101121864</v>
      </c>
      <c r="AA2" s="6">
        <v>124960.6980309537</v>
      </c>
      <c r="AB2" s="6">
        <v>1045.437740879511</v>
      </c>
      <c r="AC2" s="3" t="s">
        <v>35</v>
      </c>
      <c r="AD2" s="3" t="s">
        <v>36</v>
      </c>
    </row>
    <row r="3" spans="1:30">
      <c r="A3" s="2">
        <v>45923</v>
      </c>
      <c r="B3" s="3" t="s">
        <v>30</v>
      </c>
      <c r="C3" s="3" t="s">
        <v>31</v>
      </c>
      <c r="D3" s="3" t="s">
        <v>37</v>
      </c>
      <c r="E3" s="3" t="s">
        <v>38</v>
      </c>
      <c r="F3" s="3" t="s">
        <v>39</v>
      </c>
      <c r="G3" s="4">
        <v>116.7421319497163</v>
      </c>
      <c r="H3" s="4">
        <v>144.4911690732186</v>
      </c>
      <c r="I3" s="4">
        <v>151.40587376201179</v>
      </c>
      <c r="J3" s="4">
        <v>7.5372524271606114</v>
      </c>
      <c r="K3" s="4">
        <v>7.4345136789425172</v>
      </c>
      <c r="L3" s="4">
        <v>6.1643248930856336</v>
      </c>
      <c r="M3" s="4">
        <v>15.1783898981743</v>
      </c>
      <c r="N3" s="4">
        <v>112.8439473222998</v>
      </c>
      <c r="O3" s="4">
        <v>2058.752463866821</v>
      </c>
      <c r="P3" s="5">
        <v>4.5669989657482452E-2</v>
      </c>
      <c r="Q3" s="5">
        <v>0.95433001034251763</v>
      </c>
      <c r="R3" s="5">
        <v>2E-3</v>
      </c>
      <c r="S3" s="5">
        <v>2.317061399771482E-3</v>
      </c>
      <c r="T3" s="5">
        <v>0.76543854506499065</v>
      </c>
      <c r="U3" s="5">
        <v>0.79091839643189465</v>
      </c>
      <c r="V3" s="5">
        <v>1.237695137651371</v>
      </c>
      <c r="W3" s="4">
        <v>1.2804512116235129</v>
      </c>
      <c r="X3" s="6">
        <v>96250.477003029591</v>
      </c>
      <c r="Y3" s="6">
        <v>20972.893574518959</v>
      </c>
      <c r="Z3" s="6">
        <v>4502.3123140435991</v>
      </c>
      <c r="AA3" s="6">
        <v>124458.0661416279</v>
      </c>
      <c r="AB3" s="6">
        <v>861.35413631099357</v>
      </c>
      <c r="AC3" s="3" t="s">
        <v>40</v>
      </c>
      <c r="AD3" s="3" t="s">
        <v>41</v>
      </c>
    </row>
    <row r="4" spans="1:30">
      <c r="A4" s="2">
        <v>45924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4">
        <v>77.34970583651139</v>
      </c>
      <c r="H4" s="4">
        <v>175.25987951625521</v>
      </c>
      <c r="I4" s="4">
        <v>182.4290282513243</v>
      </c>
      <c r="J4" s="4">
        <v>7.353727428044361</v>
      </c>
      <c r="K4" s="4">
        <v>7.2900139254379601</v>
      </c>
      <c r="L4" s="4">
        <v>3.8228101563840751</v>
      </c>
      <c r="M4" s="4">
        <v>18.194733752001952</v>
      </c>
      <c r="N4" s="4">
        <v>132.6398624217303</v>
      </c>
      <c r="O4" s="4">
        <v>2697.195260148475</v>
      </c>
      <c r="P4" s="5">
        <v>3.9298289333605969E-2</v>
      </c>
      <c r="Q4" s="5">
        <v>0.96070171066639409</v>
      </c>
      <c r="R4" s="5">
        <v>2.0861951205008208E-2</v>
      </c>
      <c r="S4" s="5">
        <v>9.8136577010761103E-3</v>
      </c>
      <c r="T4" s="5">
        <v>0.91883930716480644</v>
      </c>
      <c r="U4" s="5">
        <v>0.94703630046399956</v>
      </c>
      <c r="V4" s="5">
        <v>2.2658118427326608</v>
      </c>
      <c r="W4" s="4">
        <v>1.321321330679716</v>
      </c>
      <c r="X4" s="6">
        <v>131231.70571438939</v>
      </c>
      <c r="Y4" s="6">
        <v>22007.65173435575</v>
      </c>
      <c r="Z4" s="6">
        <v>6524.3624132410823</v>
      </c>
      <c r="AA4" s="6">
        <v>165949.02517428811</v>
      </c>
      <c r="AB4" s="6">
        <v>946.87401150984169</v>
      </c>
      <c r="AC4" s="3" t="s">
        <v>42</v>
      </c>
      <c r="AD4" s="3" t="s">
        <v>43</v>
      </c>
    </row>
    <row r="5" spans="1:30">
      <c r="A5" s="2">
        <v>45925</v>
      </c>
      <c r="B5" s="3" t="s">
        <v>30</v>
      </c>
      <c r="C5" s="3" t="s">
        <v>44</v>
      </c>
      <c r="D5" s="3" t="s">
        <v>45</v>
      </c>
      <c r="E5" s="3" t="s">
        <v>46</v>
      </c>
      <c r="F5" s="3" t="s">
        <v>47</v>
      </c>
      <c r="G5" s="4">
        <v>88.142271225578611</v>
      </c>
      <c r="H5" s="4">
        <v>134.79349976487501</v>
      </c>
      <c r="I5" s="4">
        <v>144.3327398405805</v>
      </c>
      <c r="J5" s="4">
        <v>7.4211688328454981</v>
      </c>
      <c r="K5" s="4">
        <v>7.3068560666737428</v>
      </c>
      <c r="L5" s="4">
        <v>6.8587659703053037</v>
      </c>
      <c r="M5" s="4">
        <v>12.626291554810891</v>
      </c>
      <c r="N5" s="4">
        <v>92.258495046861427</v>
      </c>
      <c r="O5" s="4">
        <v>2245.518044572033</v>
      </c>
      <c r="P5" s="5">
        <v>6.6092004393749279E-2</v>
      </c>
      <c r="Q5" s="5">
        <v>0.93390799560625071</v>
      </c>
      <c r="R5" s="5">
        <v>2.6338076534790169E-2</v>
      </c>
      <c r="S5" s="5">
        <v>1.6900614992307859E-2</v>
      </c>
      <c r="T5" s="5">
        <v>0.96259673293686654</v>
      </c>
      <c r="U5" s="5">
        <v>0.97833895725937259</v>
      </c>
      <c r="V5" s="5">
        <v>1.5292719133581649</v>
      </c>
      <c r="W5" s="4">
        <v>1.4610416059400111</v>
      </c>
      <c r="X5" s="6">
        <v>95832.0879623863</v>
      </c>
      <c r="Y5" s="6">
        <v>16987.985993712071</v>
      </c>
      <c r="Z5" s="6">
        <v>5410.8137700131783</v>
      </c>
      <c r="AA5" s="6">
        <v>123014.5797495452</v>
      </c>
      <c r="AB5" s="6">
        <v>912.61507390285033</v>
      </c>
      <c r="AC5" s="3" t="s">
        <v>48</v>
      </c>
      <c r="AD5" s="3" t="s">
        <v>49</v>
      </c>
    </row>
    <row r="6" spans="1:30">
      <c r="A6" s="2">
        <v>45926</v>
      </c>
      <c r="B6" s="3" t="s">
        <v>30</v>
      </c>
      <c r="C6" s="3" t="s">
        <v>31</v>
      </c>
      <c r="D6" s="3" t="s">
        <v>45</v>
      </c>
      <c r="E6" s="3" t="s">
        <v>50</v>
      </c>
      <c r="F6" s="3" t="s">
        <v>51</v>
      </c>
      <c r="G6" s="4">
        <v>78.028812891454606</v>
      </c>
      <c r="H6" s="4">
        <v>126.0721462203504</v>
      </c>
      <c r="I6" s="4">
        <v>128.8510705016011</v>
      </c>
      <c r="J6" s="4">
        <v>8.0285997297972074</v>
      </c>
      <c r="K6" s="4">
        <v>7.669183780714576</v>
      </c>
      <c r="L6" s="4">
        <v>21.564956944957881</v>
      </c>
      <c r="M6" s="4">
        <v>16.541682366807859</v>
      </c>
      <c r="N6" s="4">
        <v>126.8612021132551</v>
      </c>
      <c r="O6" s="4">
        <v>2123.7635579385651</v>
      </c>
      <c r="P6" s="5">
        <v>2.1566947565377189E-2</v>
      </c>
      <c r="Q6" s="5">
        <v>0.97843305243462286</v>
      </c>
      <c r="R6" s="5">
        <v>3.4514966278199333E-2</v>
      </c>
      <c r="S6" s="5">
        <v>1.495515448221307E-2</v>
      </c>
      <c r="T6" s="5">
        <v>0.79589142684824843</v>
      </c>
      <c r="U6" s="5">
        <v>0.78633655796335444</v>
      </c>
      <c r="V6" s="5">
        <v>1.6157127290367539</v>
      </c>
      <c r="W6" s="4">
        <v>0.99378016383448498</v>
      </c>
      <c r="X6" s="6">
        <v>102969.2238900487</v>
      </c>
      <c r="Y6" s="6">
        <v>22408.505073077569</v>
      </c>
      <c r="Z6" s="6">
        <v>4734.0429697111413</v>
      </c>
      <c r="AA6" s="6">
        <v>136462.84653571711</v>
      </c>
      <c r="AB6" s="6">
        <v>1082.418683483073</v>
      </c>
      <c r="AC6" s="3" t="s">
        <v>52</v>
      </c>
      <c r="AD6" s="3" t="s">
        <v>41</v>
      </c>
    </row>
    <row r="7" spans="1:30">
      <c r="A7" s="2">
        <v>45927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4">
        <v>85.40170932231787</v>
      </c>
      <c r="H7" s="4">
        <v>135.0582890789232</v>
      </c>
      <c r="I7" s="4">
        <v>141.50440211578831</v>
      </c>
      <c r="J7" s="4">
        <v>8.0954106474270393</v>
      </c>
      <c r="K7" s="4">
        <v>8.0712263577253118</v>
      </c>
      <c r="L7" s="4">
        <v>1.451057382103611</v>
      </c>
      <c r="M7" s="4">
        <v>14.625640937574641</v>
      </c>
      <c r="N7" s="4">
        <v>118.0468586339788</v>
      </c>
      <c r="O7" s="4">
        <v>2156.99662110995</v>
      </c>
      <c r="P7" s="5">
        <v>4.5554151959106073E-2</v>
      </c>
      <c r="Q7" s="5">
        <v>0.95444584804089405</v>
      </c>
      <c r="R7" s="5">
        <v>2.9246383860033129E-2</v>
      </c>
      <c r="S7" s="5">
        <v>8.2022812104268657E-3</v>
      </c>
      <c r="T7" s="5">
        <v>0.83778259963819146</v>
      </c>
      <c r="U7" s="5">
        <v>0.86985003196840893</v>
      </c>
      <c r="V7" s="5">
        <v>1.581447141405502</v>
      </c>
      <c r="W7" s="4">
        <v>1.1441074387052581</v>
      </c>
      <c r="X7" s="6">
        <v>90271.979385693136</v>
      </c>
      <c r="Y7" s="6">
        <v>21588.852995944999</v>
      </c>
      <c r="Z7" s="6">
        <v>5912.0222631218003</v>
      </c>
      <c r="AA7" s="6">
        <v>120830.82126224021</v>
      </c>
      <c r="AB7" s="6">
        <v>894.65683362559844</v>
      </c>
      <c r="AC7" s="3" t="s">
        <v>53</v>
      </c>
      <c r="AD7" s="3" t="s">
        <v>36</v>
      </c>
    </row>
    <row r="8" spans="1:30">
      <c r="A8" s="2">
        <v>45928</v>
      </c>
      <c r="B8" s="3" t="s">
        <v>30</v>
      </c>
      <c r="C8" s="3" t="s">
        <v>44</v>
      </c>
      <c r="D8" s="3" t="s">
        <v>37</v>
      </c>
      <c r="E8" s="3" t="s">
        <v>38</v>
      </c>
      <c r="F8" s="3" t="s">
        <v>39</v>
      </c>
      <c r="G8" s="4">
        <v>107.10303299225519</v>
      </c>
      <c r="H8" s="4">
        <v>116.37744485886709</v>
      </c>
      <c r="I8" s="4">
        <v>119.2236374119704</v>
      </c>
      <c r="J8" s="4">
        <v>7.407246596957167</v>
      </c>
      <c r="K8" s="4">
        <v>7.1388326006534006</v>
      </c>
      <c r="L8" s="4">
        <v>16.104839778225969</v>
      </c>
      <c r="M8" s="4">
        <v>15.851084787265179</v>
      </c>
      <c r="N8" s="4">
        <v>113.1582408350499</v>
      </c>
      <c r="O8" s="4">
        <v>2118.018258095638</v>
      </c>
      <c r="P8" s="5">
        <v>2.3872720333707409E-2</v>
      </c>
      <c r="Q8" s="5">
        <v>0.97612727966629254</v>
      </c>
      <c r="R8" s="5">
        <v>9.6573662012839033E-3</v>
      </c>
      <c r="S8" s="5">
        <v>1.132378641378028E-2</v>
      </c>
      <c r="T8" s="5">
        <v>0.87262618066418374</v>
      </c>
      <c r="U8" s="5">
        <v>0.8730558334170343</v>
      </c>
      <c r="V8" s="5">
        <v>1.0865933634884319</v>
      </c>
      <c r="W8" s="4">
        <v>1.028448692733831</v>
      </c>
      <c r="X8" s="6">
        <v>84888.043853847572</v>
      </c>
      <c r="Y8" s="6">
        <v>20562.919978322789</v>
      </c>
      <c r="Z8" s="6">
        <v>5759.3740854785847</v>
      </c>
      <c r="AA8" s="6">
        <v>115747.2548691593</v>
      </c>
      <c r="AB8" s="6">
        <v>994.58494736267778</v>
      </c>
      <c r="AC8" s="3" t="s">
        <v>54</v>
      </c>
      <c r="AD8" s="3" t="s">
        <v>41</v>
      </c>
    </row>
    <row r="9" spans="1:30">
      <c r="A9" s="2">
        <v>45929</v>
      </c>
      <c r="B9" s="3" t="s">
        <v>30</v>
      </c>
      <c r="C9" s="3" t="s">
        <v>31</v>
      </c>
      <c r="D9" s="3" t="s">
        <v>37</v>
      </c>
      <c r="E9" s="3" t="s">
        <v>38</v>
      </c>
      <c r="F9" s="3" t="s">
        <v>39</v>
      </c>
      <c r="G9" s="4">
        <v>141.1944425426847</v>
      </c>
      <c r="H9" s="4">
        <v>136.7461707264342</v>
      </c>
      <c r="I9" s="4">
        <v>142.06310829495709</v>
      </c>
      <c r="J9" s="4">
        <v>8.033899551378056</v>
      </c>
      <c r="K9" s="4">
        <v>7.6444192383931373</v>
      </c>
      <c r="L9" s="4">
        <v>23.368818779095111</v>
      </c>
      <c r="M9" s="4">
        <v>16.339874401812541</v>
      </c>
      <c r="N9" s="4">
        <v>124.9088502301434</v>
      </c>
      <c r="O9" s="4">
        <v>2401.0613312230612</v>
      </c>
      <c r="P9" s="5">
        <v>3.7426589016225698E-2</v>
      </c>
      <c r="Q9" s="5">
        <v>0.96257341098377414</v>
      </c>
      <c r="R9" s="5">
        <v>2.7250624155339541E-2</v>
      </c>
      <c r="S9" s="5">
        <v>9.4201766877714047E-3</v>
      </c>
      <c r="T9" s="5">
        <v>0.89305833363949272</v>
      </c>
      <c r="U9" s="5">
        <v>0.81523905198171387</v>
      </c>
      <c r="V9" s="5">
        <v>0.96849541854378773</v>
      </c>
      <c r="W9" s="4">
        <v>1.0947676683796279</v>
      </c>
      <c r="X9" s="6">
        <v>91281.184789911524</v>
      </c>
      <c r="Y9" s="6">
        <v>22824.623382536149</v>
      </c>
      <c r="Z9" s="6">
        <v>5053.9700030752701</v>
      </c>
      <c r="AA9" s="6">
        <v>121804.808010537</v>
      </c>
      <c r="AB9" s="6">
        <v>890.73651834984139</v>
      </c>
      <c r="AC9" s="3" t="s">
        <v>55</v>
      </c>
      <c r="AD9" s="3" t="s">
        <v>49</v>
      </c>
    </row>
    <row r="10" spans="1:30">
      <c r="A10" s="2">
        <v>45930</v>
      </c>
      <c r="B10" s="3" t="s">
        <v>30</v>
      </c>
      <c r="C10" s="3" t="s">
        <v>56</v>
      </c>
      <c r="D10" s="3" t="s">
        <v>45</v>
      </c>
      <c r="E10" s="3" t="s">
        <v>33</v>
      </c>
      <c r="F10" s="3" t="s">
        <v>34</v>
      </c>
      <c r="G10" s="4">
        <v>76.519374250249925</v>
      </c>
      <c r="H10" s="4">
        <v>72.877286714000846</v>
      </c>
      <c r="I10" s="4">
        <v>77.405362830474658</v>
      </c>
      <c r="J10" s="4">
        <v>7.9356848672406084</v>
      </c>
      <c r="K10" s="4">
        <v>7.6095941639430853</v>
      </c>
      <c r="L10" s="4">
        <v>19.565442197851389</v>
      </c>
      <c r="M10" s="4">
        <v>21.22354344474838</v>
      </c>
      <c r="N10" s="4">
        <v>161.5025523353498</v>
      </c>
      <c r="O10" s="4">
        <v>1606.314871772204</v>
      </c>
      <c r="P10" s="5">
        <v>5.8498222227712407E-2</v>
      </c>
      <c r="Q10" s="5">
        <v>0.94150177777228761</v>
      </c>
      <c r="R10" s="5">
        <v>4.1736379548861682E-2</v>
      </c>
      <c r="S10" s="5">
        <v>1.319438500139547E-2</v>
      </c>
      <c r="T10" s="5">
        <v>0.72237584289660073</v>
      </c>
      <c r="U10" s="5">
        <v>0.65101754603186657</v>
      </c>
      <c r="V10" s="5">
        <v>0.95240306691037557</v>
      </c>
      <c r="W10" s="4">
        <v>0.45124541785987249</v>
      </c>
      <c r="X10" s="6">
        <v>63913.273441914876</v>
      </c>
      <c r="Y10" s="6">
        <v>28823.111648587579</v>
      </c>
      <c r="Z10" s="6">
        <v>3685.103997952514</v>
      </c>
      <c r="AA10" s="6">
        <v>99235.861364082273</v>
      </c>
      <c r="AB10" s="6">
        <v>1361.684357892231</v>
      </c>
      <c r="AC10" s="3" t="s">
        <v>57</v>
      </c>
      <c r="AD10" s="3" t="s">
        <v>41</v>
      </c>
    </row>
    <row r="11" spans="1:30">
      <c r="A11" s="2">
        <v>45931</v>
      </c>
      <c r="B11" s="3" t="s">
        <v>30</v>
      </c>
      <c r="C11" s="3" t="s">
        <v>31</v>
      </c>
      <c r="D11" s="3" t="s">
        <v>37</v>
      </c>
      <c r="E11" s="3" t="s">
        <v>38</v>
      </c>
      <c r="F11" s="3" t="s">
        <v>39</v>
      </c>
      <c r="G11" s="4">
        <v>115.0953206438579</v>
      </c>
      <c r="H11" s="4">
        <v>142.10875296981601</v>
      </c>
      <c r="I11" s="4">
        <v>149.3067563313522</v>
      </c>
      <c r="J11" s="4">
        <v>7.6820257463719868</v>
      </c>
      <c r="K11" s="4">
        <v>7.5639324823409044</v>
      </c>
      <c r="L11" s="4">
        <v>7.0855958418649454</v>
      </c>
      <c r="M11" s="4">
        <v>18.769644415754481</v>
      </c>
      <c r="N11" s="4">
        <v>141.97232307831379</v>
      </c>
      <c r="O11" s="4">
        <v>2427.5202054530978</v>
      </c>
      <c r="P11" s="5">
        <v>4.8209495259289643E-2</v>
      </c>
      <c r="Q11" s="5">
        <v>0.95179050474071047</v>
      </c>
      <c r="R11" s="5">
        <v>1.5960178734142311E-2</v>
      </c>
      <c r="S11" s="5">
        <v>1.274366081397164E-2</v>
      </c>
      <c r="T11" s="5">
        <v>0.77388709008756973</v>
      </c>
      <c r="U11" s="5">
        <v>0.78989382210613235</v>
      </c>
      <c r="V11" s="5">
        <v>1.234704870492054</v>
      </c>
      <c r="W11" s="4">
        <v>1.000960961182743</v>
      </c>
      <c r="X11" s="6">
        <v>104237.3454167661</v>
      </c>
      <c r="Y11" s="6">
        <v>24410.113396300341</v>
      </c>
      <c r="Z11" s="6">
        <v>6187.6225195650932</v>
      </c>
      <c r="AA11" s="6">
        <v>140950.3873089338</v>
      </c>
      <c r="AB11" s="6">
        <v>991.84873812010608</v>
      </c>
      <c r="AC11" s="3" t="s">
        <v>58</v>
      </c>
      <c r="AD11" s="3" t="s">
        <v>36</v>
      </c>
    </row>
    <row r="12" spans="1:30">
      <c r="A12" s="2">
        <v>45932</v>
      </c>
      <c r="B12" s="3" t="s">
        <v>30</v>
      </c>
      <c r="C12" s="3" t="s">
        <v>56</v>
      </c>
      <c r="D12" s="3" t="s">
        <v>32</v>
      </c>
      <c r="E12" s="3" t="s">
        <v>38</v>
      </c>
      <c r="F12" s="3" t="s">
        <v>39</v>
      </c>
      <c r="G12" s="4">
        <v>125.6367819469848</v>
      </c>
      <c r="H12" s="4">
        <v>128.66677218778821</v>
      </c>
      <c r="I12" s="4">
        <v>137.50376347189501</v>
      </c>
      <c r="J12" s="4">
        <v>8.0235515151790207</v>
      </c>
      <c r="K12" s="4">
        <v>7.875791329649533</v>
      </c>
      <c r="L12" s="4">
        <v>8.8656111317692599</v>
      </c>
      <c r="M12" s="4">
        <v>13.886741686872989</v>
      </c>
      <c r="N12" s="4">
        <v>109.36907977455709</v>
      </c>
      <c r="O12" s="4">
        <v>2132.221898916177</v>
      </c>
      <c r="P12" s="5">
        <v>6.4267268480349443E-2</v>
      </c>
      <c r="Q12" s="5">
        <v>0.93573273151965053</v>
      </c>
      <c r="R12" s="5">
        <v>3.0936947550429771E-2</v>
      </c>
      <c r="S12" s="5">
        <v>3.348715960489869E-3</v>
      </c>
      <c r="T12" s="5">
        <v>0.86956950072682626</v>
      </c>
      <c r="U12" s="5">
        <v>0.87121368230164786</v>
      </c>
      <c r="V12" s="5">
        <v>1.024117063441516</v>
      </c>
      <c r="W12" s="4">
        <v>1.17644559552855</v>
      </c>
      <c r="X12" s="6">
        <v>89418.451627923874</v>
      </c>
      <c r="Y12" s="6">
        <v>19205.243341875241</v>
      </c>
      <c r="Z12" s="6">
        <v>5466.3234611179014</v>
      </c>
      <c r="AA12" s="6">
        <v>118394.14176071819</v>
      </c>
      <c r="AB12" s="6">
        <v>920.16096889352866</v>
      </c>
      <c r="AC12" s="3" t="s">
        <v>59</v>
      </c>
      <c r="AD12" s="3" t="s">
        <v>41</v>
      </c>
    </row>
    <row r="13" spans="1:30">
      <c r="A13" s="2">
        <v>45933</v>
      </c>
      <c r="B13" s="3" t="s">
        <v>30</v>
      </c>
      <c r="C13" s="3" t="s">
        <v>31</v>
      </c>
      <c r="D13" s="3" t="s">
        <v>37</v>
      </c>
      <c r="E13" s="3" t="s">
        <v>33</v>
      </c>
      <c r="F13" s="3" t="s">
        <v>34</v>
      </c>
      <c r="G13" s="4">
        <v>96.363026951143013</v>
      </c>
      <c r="H13" s="4">
        <v>125.65776406693401</v>
      </c>
      <c r="I13" s="4">
        <v>130.9394353173883</v>
      </c>
      <c r="J13" s="4">
        <v>8.1848983136326101</v>
      </c>
      <c r="K13" s="4">
        <v>7.7466300245209672</v>
      </c>
      <c r="L13" s="4">
        <v>26.296097346698581</v>
      </c>
      <c r="M13" s="4">
        <v>13.68245077781935</v>
      </c>
      <c r="N13" s="4">
        <v>105.9928840044856</v>
      </c>
      <c r="O13" s="4">
        <v>2179.1646120245891</v>
      </c>
      <c r="P13" s="5">
        <v>4.0336749869525047E-2</v>
      </c>
      <c r="Q13" s="5">
        <v>0.95966325013047504</v>
      </c>
      <c r="R13" s="5">
        <v>1.6337264589120239E-2</v>
      </c>
      <c r="S13" s="5">
        <v>5.857659848976556E-3</v>
      </c>
      <c r="T13" s="5">
        <v>0.78426050423592064</v>
      </c>
      <c r="U13" s="5">
        <v>0.77481450158997145</v>
      </c>
      <c r="V13" s="5">
        <v>1.304003911486131</v>
      </c>
      <c r="W13" s="4">
        <v>1.1855301914571561</v>
      </c>
      <c r="X13" s="6">
        <v>88814.034384130049</v>
      </c>
      <c r="Y13" s="6">
        <v>15660.87097510059</v>
      </c>
      <c r="Z13" s="6">
        <v>4681.9160502133891</v>
      </c>
      <c r="AA13" s="6">
        <v>114908.5278014931</v>
      </c>
      <c r="AB13" s="6">
        <v>914.45625071193263</v>
      </c>
      <c r="AC13" s="3" t="s">
        <v>60</v>
      </c>
      <c r="AD13" s="3" t="s">
        <v>43</v>
      </c>
    </row>
    <row r="14" spans="1:30">
      <c r="A14" s="2">
        <v>45934</v>
      </c>
      <c r="B14" s="3" t="s">
        <v>30</v>
      </c>
      <c r="C14" s="3" t="s">
        <v>31</v>
      </c>
      <c r="D14" s="3" t="s">
        <v>32</v>
      </c>
      <c r="E14" s="3" t="s">
        <v>50</v>
      </c>
      <c r="F14" s="3" t="s">
        <v>51</v>
      </c>
      <c r="G14" s="4">
        <v>143.22761261796629</v>
      </c>
      <c r="H14" s="4">
        <v>124.5134186236175</v>
      </c>
      <c r="I14" s="4">
        <v>131.470603273178</v>
      </c>
      <c r="J14" s="4">
        <v>7.5628949546680611</v>
      </c>
      <c r="K14" s="4">
        <v>6.8974030497822172</v>
      </c>
      <c r="L14" s="4">
        <v>39.929514293150632</v>
      </c>
      <c r="M14" s="4">
        <v>17.729644253846921</v>
      </c>
      <c r="N14" s="4">
        <v>122.2885023480375</v>
      </c>
      <c r="O14" s="4">
        <v>2337.1096171670961</v>
      </c>
      <c r="P14" s="5">
        <v>5.2918176963898077E-2</v>
      </c>
      <c r="Q14" s="5">
        <v>0.94708182303610178</v>
      </c>
      <c r="R14" s="5">
        <v>2.478255437643553E-2</v>
      </c>
      <c r="S14" s="5">
        <v>1E-3</v>
      </c>
      <c r="T14" s="5">
        <v>0.84817058459295414</v>
      </c>
      <c r="U14" s="5">
        <v>0.67179324952416275</v>
      </c>
      <c r="V14" s="5">
        <v>0.86933948243439951</v>
      </c>
      <c r="W14" s="4">
        <v>1.0181939939802991</v>
      </c>
      <c r="X14" s="6">
        <v>90636.610493142085</v>
      </c>
      <c r="Y14" s="6">
        <v>19806.350882744639</v>
      </c>
      <c r="Z14" s="6">
        <v>6487.0444757829828</v>
      </c>
      <c r="AA14" s="6">
        <v>121563.969527227</v>
      </c>
      <c r="AB14" s="6">
        <v>976.31219888591909</v>
      </c>
      <c r="AC14" s="3" t="s">
        <v>61</v>
      </c>
      <c r="AD14" s="3" t="s">
        <v>41</v>
      </c>
    </row>
    <row r="15" spans="1:30">
      <c r="A15" s="2">
        <v>45935</v>
      </c>
      <c r="B15" s="3" t="s">
        <v>30</v>
      </c>
      <c r="C15" s="3" t="s">
        <v>31</v>
      </c>
      <c r="D15" s="3" t="s">
        <v>45</v>
      </c>
      <c r="E15" s="3" t="s">
        <v>46</v>
      </c>
      <c r="F15" s="3" t="s">
        <v>47</v>
      </c>
      <c r="G15" s="4">
        <v>97.503125546424869</v>
      </c>
      <c r="H15" s="4">
        <v>134.76499753340241</v>
      </c>
      <c r="I15" s="4">
        <v>139.45214981037171</v>
      </c>
      <c r="J15" s="4">
        <v>7.9302230129594662</v>
      </c>
      <c r="K15" s="4">
        <v>7.8137414828619294</v>
      </c>
      <c r="L15" s="4">
        <v>6.9888918058522194</v>
      </c>
      <c r="M15" s="4">
        <v>11.635504200389409</v>
      </c>
      <c r="N15" s="4">
        <v>90.916821844596925</v>
      </c>
      <c r="O15" s="4">
        <v>2284.182134130911</v>
      </c>
      <c r="P15" s="5">
        <v>3.3611186943642658E-2</v>
      </c>
      <c r="Q15" s="5">
        <v>0.96638881305635727</v>
      </c>
      <c r="R15" s="5">
        <v>2.641474467833118E-2</v>
      </c>
      <c r="S15" s="5">
        <v>9.9234149818230484E-3</v>
      </c>
      <c r="T15" s="5">
        <v>0.88623067167564196</v>
      </c>
      <c r="U15" s="5">
        <v>0.90777559567081545</v>
      </c>
      <c r="V15" s="5">
        <v>1.3821607951350821</v>
      </c>
      <c r="W15" s="4">
        <v>1.482288918587086</v>
      </c>
      <c r="X15" s="6">
        <v>101502.9967251504</v>
      </c>
      <c r="Y15" s="6">
        <v>14337.83797330587</v>
      </c>
      <c r="Z15" s="6">
        <v>6145.45803864765</v>
      </c>
      <c r="AA15" s="6">
        <v>126454.11958666969</v>
      </c>
      <c r="AB15" s="6">
        <v>938.3305895533241</v>
      </c>
      <c r="AC15" s="3" t="s">
        <v>62</v>
      </c>
      <c r="AD15" s="3" t="s">
        <v>43</v>
      </c>
    </row>
    <row r="16" spans="1:30">
      <c r="A16" s="2">
        <v>45936</v>
      </c>
      <c r="B16" s="3" t="s">
        <v>30</v>
      </c>
      <c r="C16" s="3" t="s">
        <v>63</v>
      </c>
      <c r="D16" s="3" t="s">
        <v>32</v>
      </c>
      <c r="E16" s="3" t="s">
        <v>50</v>
      </c>
      <c r="F16" s="3" t="s">
        <v>51</v>
      </c>
      <c r="G16" s="4">
        <v>92.984156033455662</v>
      </c>
      <c r="H16" s="4">
        <v>119.87367989508139</v>
      </c>
      <c r="I16" s="4">
        <v>126.1090981575624</v>
      </c>
      <c r="J16" s="4">
        <v>7.4805846679470962</v>
      </c>
      <c r="K16" s="4">
        <v>7.1792592484244286</v>
      </c>
      <c r="L16" s="4">
        <v>18.07952517136005</v>
      </c>
      <c r="M16" s="4">
        <v>13.682573193974481</v>
      </c>
      <c r="N16" s="4">
        <v>98.230740145085434</v>
      </c>
      <c r="O16" s="4">
        <v>2096.018526426677</v>
      </c>
      <c r="P16" s="5">
        <v>4.9444634475860373E-2</v>
      </c>
      <c r="Q16" s="5">
        <v>0.95055536552413966</v>
      </c>
      <c r="R16" s="5">
        <v>3.0891703754855331E-2</v>
      </c>
      <c r="S16" s="5">
        <v>2.074828681538873E-2</v>
      </c>
      <c r="T16" s="5">
        <v>0.80280335575547657</v>
      </c>
      <c r="U16" s="5">
        <v>0.79220378269027025</v>
      </c>
      <c r="V16" s="5">
        <v>1.2891839320663501</v>
      </c>
      <c r="W16" s="4">
        <v>1.220327564650634</v>
      </c>
      <c r="X16" s="6">
        <v>90693.238493336743</v>
      </c>
      <c r="Y16" s="6">
        <v>15141.303641307681</v>
      </c>
      <c r="Z16" s="6">
        <v>5362.4119827689656</v>
      </c>
      <c r="AA16" s="6">
        <v>117893.29374270191</v>
      </c>
      <c r="AB16" s="6">
        <v>983.47939135502668</v>
      </c>
      <c r="AC16" s="3" t="s">
        <v>64</v>
      </c>
      <c r="AD16" s="3" t="s">
        <v>41</v>
      </c>
    </row>
    <row r="17" spans="1:30">
      <c r="A17" s="2">
        <v>45937</v>
      </c>
      <c r="B17" s="3" t="s">
        <v>30</v>
      </c>
      <c r="C17" s="3" t="s">
        <v>63</v>
      </c>
      <c r="D17" s="3" t="s">
        <v>32</v>
      </c>
      <c r="E17" s="3" t="s">
        <v>33</v>
      </c>
      <c r="F17" s="3" t="s">
        <v>34</v>
      </c>
      <c r="G17" s="4">
        <v>83.665291335715324</v>
      </c>
      <c r="H17" s="4">
        <v>136.69905169451769</v>
      </c>
      <c r="I17" s="4">
        <v>144.21187838103981</v>
      </c>
      <c r="J17" s="4">
        <v>7.5431676902459852</v>
      </c>
      <c r="K17" s="4">
        <v>7.3429050282309163</v>
      </c>
      <c r="L17" s="4">
        <v>12.015759720904111</v>
      </c>
      <c r="M17" s="4">
        <v>16.70997959879821</v>
      </c>
      <c r="N17" s="4">
        <v>122.6997932176514</v>
      </c>
      <c r="O17" s="4">
        <v>2270.784602146744</v>
      </c>
      <c r="P17" s="5">
        <v>5.2095755015904362E-2</v>
      </c>
      <c r="Q17" s="5">
        <v>0.94790424498409565</v>
      </c>
      <c r="R17" s="5">
        <v>2.4122080765358229E-2</v>
      </c>
      <c r="S17" s="5">
        <v>2.7053558153828129E-3</v>
      </c>
      <c r="T17" s="5">
        <v>0.91609985884423162</v>
      </c>
      <c r="U17" s="5">
        <v>0.93383414739377535</v>
      </c>
      <c r="V17" s="5">
        <v>1.6338800655817849</v>
      </c>
      <c r="W17" s="4">
        <v>1.1140935783977539</v>
      </c>
      <c r="X17" s="6">
        <v>110806.96934591459</v>
      </c>
      <c r="Y17" s="6">
        <v>17880.831633391179</v>
      </c>
      <c r="Z17" s="6">
        <v>5090.4594004498294</v>
      </c>
      <c r="AA17" s="6">
        <v>137250.09457042499</v>
      </c>
      <c r="AB17" s="6">
        <v>1004.031065827279</v>
      </c>
      <c r="AC17" s="3" t="s">
        <v>65</v>
      </c>
      <c r="AD17" s="3" t="s">
        <v>43</v>
      </c>
    </row>
    <row r="18" spans="1:30">
      <c r="A18" s="2">
        <v>45938</v>
      </c>
      <c r="B18" s="3" t="s">
        <v>30</v>
      </c>
      <c r="C18" s="3" t="s">
        <v>44</v>
      </c>
      <c r="D18" s="3" t="s">
        <v>37</v>
      </c>
      <c r="E18" s="3" t="s">
        <v>33</v>
      </c>
      <c r="F18" s="3" t="s">
        <v>34</v>
      </c>
      <c r="G18" s="4">
        <v>108.0078711169952</v>
      </c>
      <c r="H18" s="4">
        <v>98.916673207787738</v>
      </c>
      <c r="I18" s="4">
        <v>103.61794467518889</v>
      </c>
      <c r="J18" s="4">
        <v>7.4514906191012109</v>
      </c>
      <c r="K18" s="4">
        <v>7.2161035891949714</v>
      </c>
      <c r="L18" s="4">
        <v>14.12322179437437</v>
      </c>
      <c r="M18" s="4">
        <v>17.552580281078221</v>
      </c>
      <c r="N18" s="4">
        <v>126.6612375659215</v>
      </c>
      <c r="O18" s="4">
        <v>1970.0362408570991</v>
      </c>
      <c r="P18" s="5">
        <v>4.5371209418775989E-2</v>
      </c>
      <c r="Q18" s="5">
        <v>0.95462879058122396</v>
      </c>
      <c r="R18" s="5">
        <v>3.5392949557283629E-2</v>
      </c>
      <c r="S18" s="5">
        <v>1.276919542482052E-2</v>
      </c>
      <c r="T18" s="5">
        <v>0.96720660998824837</v>
      </c>
      <c r="U18" s="5">
        <v>0.84686005741173342</v>
      </c>
      <c r="V18" s="5">
        <v>0.91582837606937217</v>
      </c>
      <c r="W18" s="4">
        <v>0.78095457701734583</v>
      </c>
      <c r="X18" s="6">
        <v>70641.470385691267</v>
      </c>
      <c r="Y18" s="6">
        <v>22548.169561359049</v>
      </c>
      <c r="Z18" s="6">
        <v>4926.2494476890261</v>
      </c>
      <c r="AA18" s="6">
        <v>101772.3993022808</v>
      </c>
      <c r="AB18" s="6">
        <v>1028.870017580294</v>
      </c>
      <c r="AC18" s="3" t="s">
        <v>66</v>
      </c>
      <c r="AD18" s="3" t="s">
        <v>41</v>
      </c>
    </row>
    <row r="19" spans="1:30">
      <c r="A19" s="2">
        <v>45939</v>
      </c>
      <c r="B19" s="3" t="s">
        <v>30</v>
      </c>
      <c r="C19" s="3" t="s">
        <v>31</v>
      </c>
      <c r="D19" s="3" t="s">
        <v>45</v>
      </c>
      <c r="E19" s="3" t="s">
        <v>33</v>
      </c>
      <c r="F19" s="3" t="s">
        <v>34</v>
      </c>
      <c r="G19" s="4">
        <v>119.54842648939329</v>
      </c>
      <c r="H19" s="4">
        <v>101.0884224072973</v>
      </c>
      <c r="I19" s="4">
        <v>102.7370956133242</v>
      </c>
      <c r="J19" s="4">
        <v>7.8728240837594416</v>
      </c>
      <c r="K19" s="4">
        <v>7.5579788249943709</v>
      </c>
      <c r="L19" s="4">
        <v>18.890715525904231</v>
      </c>
      <c r="M19" s="4">
        <v>17.162281865786451</v>
      </c>
      <c r="N19" s="4">
        <v>129.7121629301989</v>
      </c>
      <c r="O19" s="4">
        <v>1734.7997254047709</v>
      </c>
      <c r="P19" s="5">
        <v>1.6047496731190859E-2</v>
      </c>
      <c r="Q19" s="5">
        <v>0.98395250326880901</v>
      </c>
      <c r="R19" s="5">
        <v>3.1767925996876223E-2</v>
      </c>
      <c r="S19" s="5">
        <v>2.0603642243958008E-2</v>
      </c>
      <c r="T19" s="5">
        <v>0.68389973715840879</v>
      </c>
      <c r="U19" s="5">
        <v>0.54373038060159995</v>
      </c>
      <c r="V19" s="5">
        <v>0.8455855537025091</v>
      </c>
      <c r="W19" s="4">
        <v>0.77932878554877949</v>
      </c>
      <c r="X19" s="6">
        <v>88052.118311426035</v>
      </c>
      <c r="Y19" s="6">
        <v>22009.601476981032</v>
      </c>
      <c r="Z19" s="6">
        <v>4088.2340156255718</v>
      </c>
      <c r="AA19" s="6">
        <v>117749.6529528799</v>
      </c>
      <c r="AB19" s="6">
        <v>1164.818385219749</v>
      </c>
      <c r="AC19" s="3" t="s">
        <v>67</v>
      </c>
      <c r="AD19" s="3" t="s">
        <v>43</v>
      </c>
    </row>
    <row r="20" spans="1:30">
      <c r="A20" s="2">
        <v>45940</v>
      </c>
      <c r="B20" s="3" t="s">
        <v>30</v>
      </c>
      <c r="C20" s="3" t="s">
        <v>56</v>
      </c>
      <c r="D20" s="3" t="s">
        <v>45</v>
      </c>
      <c r="E20" s="3" t="s">
        <v>50</v>
      </c>
      <c r="F20" s="3" t="s">
        <v>51</v>
      </c>
      <c r="G20" s="4">
        <v>115.8268678521154</v>
      </c>
      <c r="H20" s="4">
        <v>75.526810881221124</v>
      </c>
      <c r="I20" s="4">
        <v>79.434936164208693</v>
      </c>
      <c r="J20" s="4">
        <v>7.3978581474386669</v>
      </c>
      <c r="K20" s="4">
        <v>7.3143892864894982</v>
      </c>
      <c r="L20" s="4">
        <v>5.0081316569501126</v>
      </c>
      <c r="M20" s="4">
        <v>14.473213136406409</v>
      </c>
      <c r="N20" s="4">
        <v>105.8627151060101</v>
      </c>
      <c r="O20" s="4">
        <v>1535.550255910254</v>
      </c>
      <c r="P20" s="5">
        <v>4.9199073754004882E-2</v>
      </c>
      <c r="Q20" s="5">
        <v>0.95080092624599521</v>
      </c>
      <c r="R20" s="5">
        <v>1.185118440336853E-2</v>
      </c>
      <c r="S20" s="5">
        <v>8.6092904038708208E-3</v>
      </c>
      <c r="T20" s="5">
        <v>0.82567793460325989</v>
      </c>
      <c r="U20" s="5">
        <v>0.5277392907778955</v>
      </c>
      <c r="V20" s="5">
        <v>0.65206641845527336</v>
      </c>
      <c r="W20" s="4">
        <v>0.71344109024210423</v>
      </c>
      <c r="X20" s="6">
        <v>54546.28039148781</v>
      </c>
      <c r="Y20" s="6">
        <v>15511.648352064039</v>
      </c>
      <c r="Z20" s="6">
        <v>4255.9957512212604</v>
      </c>
      <c r="AA20" s="6">
        <v>79785.616647435803</v>
      </c>
      <c r="AB20" s="6">
        <v>1056.38799939418</v>
      </c>
      <c r="AC20" s="3" t="s">
        <v>68</v>
      </c>
      <c r="AD20" s="3" t="s">
        <v>43</v>
      </c>
    </row>
    <row r="21" spans="1:30">
      <c r="A21" s="2">
        <v>45941</v>
      </c>
      <c r="B21" s="3" t="s">
        <v>30</v>
      </c>
      <c r="C21" s="3" t="s">
        <v>44</v>
      </c>
      <c r="D21" s="3" t="s">
        <v>37</v>
      </c>
      <c r="E21" s="3" t="s">
        <v>50</v>
      </c>
      <c r="F21" s="3" t="s">
        <v>51</v>
      </c>
      <c r="G21" s="4">
        <v>108.7495022852533</v>
      </c>
      <c r="H21" s="4">
        <v>152.24731295948189</v>
      </c>
      <c r="I21" s="4">
        <v>163.58048452611999</v>
      </c>
      <c r="J21" s="4">
        <v>7.4560639029910041</v>
      </c>
      <c r="K21" s="4">
        <v>7.3406749404630913</v>
      </c>
      <c r="L21" s="4">
        <v>6.9233377516747572</v>
      </c>
      <c r="M21" s="4">
        <v>13.58985623106501</v>
      </c>
      <c r="N21" s="4">
        <v>99.758717079875083</v>
      </c>
      <c r="O21" s="4">
        <v>2452.1202165046179</v>
      </c>
      <c r="P21" s="5">
        <v>6.9281929317360005E-2</v>
      </c>
      <c r="Q21" s="5">
        <v>0.9307180706826399</v>
      </c>
      <c r="R21" s="5">
        <v>1.769483695290143E-2</v>
      </c>
      <c r="S21" s="5">
        <v>1.496033332233641E-2</v>
      </c>
      <c r="T21" s="5">
        <v>0.82237362782953238</v>
      </c>
      <c r="U21" s="5">
        <v>0.83741081398117578</v>
      </c>
      <c r="V21" s="5">
        <v>1.3999816988599401</v>
      </c>
      <c r="W21" s="4">
        <v>1.526155482107695</v>
      </c>
      <c r="X21" s="6">
        <v>135568.91158684259</v>
      </c>
      <c r="Y21" s="6">
        <v>15908.476757791839</v>
      </c>
      <c r="Z21" s="6">
        <v>5127.5013130451862</v>
      </c>
      <c r="AA21" s="6">
        <v>162710.37727205679</v>
      </c>
      <c r="AB21" s="6">
        <v>1068.72413121248</v>
      </c>
      <c r="AC21" s="3" t="s">
        <v>69</v>
      </c>
      <c r="AD21" s="3" t="s">
        <v>43</v>
      </c>
    </row>
    <row r="22" spans="1:30">
      <c r="A22" s="2">
        <v>45942</v>
      </c>
      <c r="B22" s="3" t="s">
        <v>30</v>
      </c>
      <c r="C22" s="3" t="s">
        <v>63</v>
      </c>
      <c r="D22" s="3" t="s">
        <v>45</v>
      </c>
      <c r="E22" s="3" t="s">
        <v>46</v>
      </c>
      <c r="F22" s="3" t="s">
        <v>47</v>
      </c>
      <c r="G22" s="4">
        <v>101.4883442406026</v>
      </c>
      <c r="H22" s="4">
        <v>95.497642619233417</v>
      </c>
      <c r="I22" s="4">
        <v>101.83147234615809</v>
      </c>
      <c r="J22" s="4">
        <v>8.2131091040388853</v>
      </c>
      <c r="K22" s="4">
        <v>7.9086222629669356</v>
      </c>
      <c r="L22" s="4">
        <v>18.26921046431697</v>
      </c>
      <c r="M22" s="4">
        <v>18.19603975818119</v>
      </c>
      <c r="N22" s="4">
        <v>143.90560512938319</v>
      </c>
      <c r="O22" s="4">
        <v>1917.4932586679399</v>
      </c>
      <c r="P22" s="5">
        <v>6.2199137270587367E-2</v>
      </c>
      <c r="Q22" s="5">
        <v>0.93780086272941265</v>
      </c>
      <c r="R22" s="5">
        <v>2.3759822289945338E-2</v>
      </c>
      <c r="S22" s="5">
        <v>5.715785181714509E-3</v>
      </c>
      <c r="T22" s="5">
        <v>0.69358999496043894</v>
      </c>
      <c r="U22" s="5">
        <v>0.62486052481065224</v>
      </c>
      <c r="V22" s="5">
        <v>0.9409715306107781</v>
      </c>
      <c r="W22" s="4">
        <v>0.66361308535114394</v>
      </c>
      <c r="X22" s="6">
        <v>75017.429665302276</v>
      </c>
      <c r="Y22" s="6">
        <v>21211.318679974938</v>
      </c>
      <c r="Z22" s="6">
        <v>5030.8724876223177</v>
      </c>
      <c r="AA22" s="6">
        <v>106603.9630170594</v>
      </c>
      <c r="AB22" s="6">
        <v>1116.299419474771</v>
      </c>
      <c r="AC22" s="3" t="s">
        <v>70</v>
      </c>
      <c r="AD22" s="3" t="s">
        <v>36</v>
      </c>
    </row>
    <row r="23" spans="1:30">
      <c r="A23" s="2">
        <v>45943</v>
      </c>
      <c r="B23" s="3" t="s">
        <v>30</v>
      </c>
      <c r="C23" s="3" t="s">
        <v>44</v>
      </c>
      <c r="D23" s="3" t="s">
        <v>32</v>
      </c>
      <c r="E23" s="3" t="s">
        <v>33</v>
      </c>
      <c r="F23" s="3" t="s">
        <v>34</v>
      </c>
      <c r="G23" s="4">
        <v>79.465141529059423</v>
      </c>
      <c r="H23" s="4">
        <v>76.799686778450592</v>
      </c>
      <c r="I23" s="4">
        <v>80.53867995266161</v>
      </c>
      <c r="J23" s="4">
        <v>7.407972636702012</v>
      </c>
      <c r="K23" s="4">
        <v>7.3204884208288181</v>
      </c>
      <c r="L23" s="4">
        <v>5.249052952391656</v>
      </c>
      <c r="M23" s="4">
        <v>13.84331590853944</v>
      </c>
      <c r="N23" s="4">
        <v>101.33983381433831</v>
      </c>
      <c r="O23" s="4">
        <v>1714.774648753081</v>
      </c>
      <c r="P23" s="5">
        <v>4.6424813225256469E-2</v>
      </c>
      <c r="Q23" s="5">
        <v>0.95357518677474362</v>
      </c>
      <c r="R23" s="5">
        <v>2.0845209357795932E-2</v>
      </c>
      <c r="S23" s="5">
        <v>1.723033368011935E-2</v>
      </c>
      <c r="T23" s="5">
        <v>0.86513809479461234</v>
      </c>
      <c r="U23" s="5">
        <v>0.81200864923709437</v>
      </c>
      <c r="V23" s="5">
        <v>0.96645755988952586</v>
      </c>
      <c r="W23" s="4">
        <v>0.75784303060090852</v>
      </c>
      <c r="X23" s="6">
        <v>59258.277929853131</v>
      </c>
      <c r="Y23" s="6">
        <v>17802.737517355981</v>
      </c>
      <c r="Z23" s="6">
        <v>3785.954466331284</v>
      </c>
      <c r="AA23" s="6">
        <v>85280.919237588983</v>
      </c>
      <c r="AB23" s="6">
        <v>1110.4331647029339</v>
      </c>
      <c r="AC23" s="3" t="s">
        <v>71</v>
      </c>
      <c r="AD23" s="3" t="s">
        <v>49</v>
      </c>
    </row>
    <row r="24" spans="1:30">
      <c r="A24" s="2">
        <v>45944</v>
      </c>
      <c r="B24" s="3" t="s">
        <v>30</v>
      </c>
      <c r="C24" s="3" t="s">
        <v>44</v>
      </c>
      <c r="D24" s="3" t="s">
        <v>32</v>
      </c>
      <c r="E24" s="3" t="s">
        <v>38</v>
      </c>
      <c r="F24" s="3" t="s">
        <v>39</v>
      </c>
      <c r="G24" s="4">
        <v>78.690481816457208</v>
      </c>
      <c r="H24" s="4">
        <v>99.326906931711974</v>
      </c>
      <c r="I24" s="4">
        <v>105.00165928490691</v>
      </c>
      <c r="J24" s="4">
        <v>7.7539707387693646</v>
      </c>
      <c r="K24" s="4">
        <v>7.3664212497817454</v>
      </c>
      <c r="L24" s="4">
        <v>23.252969339257159</v>
      </c>
      <c r="M24" s="4">
        <v>16.691117411394021</v>
      </c>
      <c r="N24" s="4">
        <v>122.953801981895</v>
      </c>
      <c r="O24" s="4">
        <v>1883.0994910154061</v>
      </c>
      <c r="P24" s="5">
        <v>5.4044406458352477E-2</v>
      </c>
      <c r="Q24" s="5">
        <v>0.94595559354164738</v>
      </c>
      <c r="R24" s="5">
        <v>1.6579209630834011E-2</v>
      </c>
      <c r="S24" s="5">
        <v>9.8693293959473578E-3</v>
      </c>
      <c r="T24" s="5">
        <v>0.73453396479207533</v>
      </c>
      <c r="U24" s="5">
        <v>0.72548107459195899</v>
      </c>
      <c r="V24" s="5">
        <v>1.2622480462553081</v>
      </c>
      <c r="W24" s="4">
        <v>0.80783924799932483</v>
      </c>
      <c r="X24" s="6">
        <v>70080.047239976484</v>
      </c>
      <c r="Y24" s="6">
        <v>19131.898197040769</v>
      </c>
      <c r="Z24" s="6">
        <v>5267.5171979882844</v>
      </c>
      <c r="AA24" s="6">
        <v>100001.8634062779</v>
      </c>
      <c r="AB24" s="6">
        <v>1006.7953034622331</v>
      </c>
      <c r="AC24" s="3" t="s">
        <v>72</v>
      </c>
      <c r="AD24" s="3" t="s">
        <v>43</v>
      </c>
    </row>
    <row r="25" spans="1:30">
      <c r="A25" s="2">
        <v>45945</v>
      </c>
      <c r="B25" s="3" t="s">
        <v>30</v>
      </c>
      <c r="C25" s="3" t="s">
        <v>31</v>
      </c>
      <c r="D25" s="3" t="s">
        <v>37</v>
      </c>
      <c r="E25" s="3" t="s">
        <v>38</v>
      </c>
      <c r="F25" s="3" t="s">
        <v>39</v>
      </c>
      <c r="G25" s="4">
        <v>71.38983699223644</v>
      </c>
      <c r="H25" s="4">
        <v>124.66548358762989</v>
      </c>
      <c r="I25" s="4">
        <v>131.6383637010228</v>
      </c>
      <c r="J25" s="4">
        <v>7.4176027372792079</v>
      </c>
      <c r="K25" s="4">
        <v>7.0383782550674763</v>
      </c>
      <c r="L25" s="4">
        <v>22.753468932703889</v>
      </c>
      <c r="M25" s="4">
        <v>15.508498950190191</v>
      </c>
      <c r="N25" s="4">
        <v>109.15468177975541</v>
      </c>
      <c r="O25" s="4">
        <v>2205.6757147939188</v>
      </c>
      <c r="P25" s="5">
        <v>5.2969969523699978E-2</v>
      </c>
      <c r="Q25" s="5">
        <v>0.94703003047629997</v>
      </c>
      <c r="R25" s="5">
        <v>1.5193272041559781E-2</v>
      </c>
      <c r="S25" s="5">
        <v>1.328206477744626E-2</v>
      </c>
      <c r="T25" s="5">
        <v>0.84101881582903637</v>
      </c>
      <c r="U25" s="5">
        <v>0.82679352397120365</v>
      </c>
      <c r="V25" s="5">
        <v>1.746263737808885</v>
      </c>
      <c r="W25" s="4">
        <v>1.142099281084169</v>
      </c>
      <c r="X25" s="6">
        <v>95257.595158888129</v>
      </c>
      <c r="Y25" s="6">
        <v>17384.385841267929</v>
      </c>
      <c r="Z25" s="6">
        <v>5370.1453943834031</v>
      </c>
      <c r="AA25" s="6">
        <v>123281.14760521259</v>
      </c>
      <c r="AB25" s="6">
        <v>988.89559529567646</v>
      </c>
      <c r="AC25" s="3" t="s">
        <v>73</v>
      </c>
      <c r="AD25" s="3" t="s">
        <v>43</v>
      </c>
    </row>
    <row r="26" spans="1:30">
      <c r="A26" s="2">
        <v>45946</v>
      </c>
      <c r="B26" s="3" t="s">
        <v>30</v>
      </c>
      <c r="C26" s="3" t="s">
        <v>31</v>
      </c>
      <c r="D26" s="3" t="s">
        <v>45</v>
      </c>
      <c r="E26" s="3" t="s">
        <v>46</v>
      </c>
      <c r="F26" s="3" t="s">
        <v>47</v>
      </c>
      <c r="G26" s="4">
        <v>133.41747938454091</v>
      </c>
      <c r="H26" s="4">
        <v>141.80444507564741</v>
      </c>
      <c r="I26" s="4">
        <v>155.67913229945009</v>
      </c>
      <c r="J26" s="4">
        <v>7.7852666583544252</v>
      </c>
      <c r="K26" s="4">
        <v>7.7067504167675462</v>
      </c>
      <c r="L26" s="4">
        <v>4.7109744952127262</v>
      </c>
      <c r="M26" s="4">
        <v>17.814065471347</v>
      </c>
      <c r="N26" s="4">
        <v>137.28855649562789</v>
      </c>
      <c r="O26" s="4">
        <v>2227.0255600906062</v>
      </c>
      <c r="P26" s="5">
        <v>8.9123616112625176E-2</v>
      </c>
      <c r="Q26" s="5">
        <v>0.91087638388737469</v>
      </c>
      <c r="R26" s="5">
        <v>3.8571436938485817E-2</v>
      </c>
      <c r="S26" s="5">
        <v>1.7635916306173761E-2</v>
      </c>
      <c r="T26" s="5">
        <v>0.88432260694731013</v>
      </c>
      <c r="U26" s="5">
        <v>0.90296372681381099</v>
      </c>
      <c r="V26" s="5">
        <v>1.0628625704052861</v>
      </c>
      <c r="W26" s="4">
        <v>1.032893408564342</v>
      </c>
      <c r="X26" s="6">
        <v>116779.2872424518</v>
      </c>
      <c r="Y26" s="6">
        <v>20782.940367845731</v>
      </c>
      <c r="Z26" s="6">
        <v>5244.3854237109308</v>
      </c>
      <c r="AA26" s="6">
        <v>147424.6462905161</v>
      </c>
      <c r="AB26" s="6">
        <v>1039.6334629134551</v>
      </c>
      <c r="AC26" s="3" t="s">
        <v>74</v>
      </c>
      <c r="AD26" s="3" t="s">
        <v>49</v>
      </c>
    </row>
    <row r="27" spans="1:30">
      <c r="A27" s="2">
        <v>45947</v>
      </c>
      <c r="B27" s="3" t="s">
        <v>30</v>
      </c>
      <c r="C27" s="3" t="s">
        <v>56</v>
      </c>
      <c r="D27" s="3" t="s">
        <v>45</v>
      </c>
      <c r="E27" s="3" t="s">
        <v>46</v>
      </c>
      <c r="F27" s="3" t="s">
        <v>47</v>
      </c>
      <c r="G27" s="4">
        <v>103.3638641545581</v>
      </c>
      <c r="H27" s="4">
        <v>146.7787958225324</v>
      </c>
      <c r="I27" s="4">
        <v>153.97073786955829</v>
      </c>
      <c r="J27" s="4">
        <v>7.8075285163635204</v>
      </c>
      <c r="K27" s="4">
        <v>7.6486359695344586</v>
      </c>
      <c r="L27" s="4">
        <v>9.533552809743659</v>
      </c>
      <c r="M27" s="4">
        <v>18.318066801551879</v>
      </c>
      <c r="N27" s="4">
        <v>140.1082246306847</v>
      </c>
      <c r="O27" s="4">
        <v>2263.5494551604952</v>
      </c>
      <c r="P27" s="5">
        <v>4.6709797891069091E-2</v>
      </c>
      <c r="Q27" s="5">
        <v>0.95329020210893101</v>
      </c>
      <c r="R27" s="5">
        <v>2E-3</v>
      </c>
      <c r="S27" s="5">
        <v>9.0140404446697082E-3</v>
      </c>
      <c r="T27" s="5">
        <v>0.96324157392318654</v>
      </c>
      <c r="U27" s="5">
        <v>0.9818890832060595</v>
      </c>
      <c r="V27" s="5">
        <v>1.4200204009696931</v>
      </c>
      <c r="W27" s="4">
        <v>1.047610132877145</v>
      </c>
      <c r="X27" s="6">
        <v>108886.6662913397</v>
      </c>
      <c r="Y27" s="6">
        <v>26538.447780736999</v>
      </c>
      <c r="Z27" s="6">
        <v>5626.6700527948906</v>
      </c>
      <c r="AA27" s="6">
        <v>145283.789373026</v>
      </c>
      <c r="AB27" s="6">
        <v>989.81456114877778</v>
      </c>
      <c r="AC27" s="3" t="s">
        <v>75</v>
      </c>
      <c r="AD27" s="3" t="s">
        <v>43</v>
      </c>
    </row>
    <row r="28" spans="1:30">
      <c r="A28" s="2">
        <v>45948</v>
      </c>
      <c r="B28" s="3" t="s">
        <v>30</v>
      </c>
      <c r="C28" s="3" t="s">
        <v>63</v>
      </c>
      <c r="D28" s="3" t="s">
        <v>32</v>
      </c>
      <c r="E28" s="3" t="s">
        <v>33</v>
      </c>
      <c r="F28" s="3" t="s">
        <v>34</v>
      </c>
      <c r="G28" s="4">
        <v>58.935152966583232</v>
      </c>
      <c r="H28" s="4">
        <v>80.791823831614508</v>
      </c>
      <c r="I28" s="4">
        <v>83.919232994781822</v>
      </c>
      <c r="J28" s="4">
        <v>7.333177298247894</v>
      </c>
      <c r="K28" s="4">
        <v>6.9743606764421777</v>
      </c>
      <c r="L28" s="4">
        <v>21.528997308343001</v>
      </c>
      <c r="M28" s="4">
        <v>19.66374578397566</v>
      </c>
      <c r="N28" s="4">
        <v>137.14205534731551</v>
      </c>
      <c r="O28" s="4">
        <v>1609.769605164325</v>
      </c>
      <c r="P28" s="5">
        <v>3.7266894030856812E-2</v>
      </c>
      <c r="Q28" s="5">
        <v>0.96273310596914319</v>
      </c>
      <c r="R28" s="5">
        <v>4.797378349052954E-2</v>
      </c>
      <c r="S28" s="5">
        <v>9.8839759633416752E-3</v>
      </c>
      <c r="T28" s="5">
        <v>0.74850389738527423</v>
      </c>
      <c r="U28" s="5">
        <v>0.74008511916519182</v>
      </c>
      <c r="V28" s="5">
        <v>1.37085966125216</v>
      </c>
      <c r="W28" s="4">
        <v>0.58911049296298845</v>
      </c>
      <c r="X28" s="6">
        <v>56847.279134338343</v>
      </c>
      <c r="Y28" s="6">
        <v>21355.042028603759</v>
      </c>
      <c r="Z28" s="6">
        <v>4205.0652713247691</v>
      </c>
      <c r="AA28" s="6">
        <v>89276.614504390294</v>
      </c>
      <c r="AB28" s="6">
        <v>1105.0204125910029</v>
      </c>
      <c r="AC28" s="3" t="s">
        <v>76</v>
      </c>
      <c r="AD28" s="3" t="s">
        <v>49</v>
      </c>
    </row>
    <row r="29" spans="1:30">
      <c r="A29" s="2">
        <v>45949</v>
      </c>
      <c r="B29" s="3" t="s">
        <v>30</v>
      </c>
      <c r="C29" s="3" t="s">
        <v>44</v>
      </c>
      <c r="D29" s="3" t="s">
        <v>32</v>
      </c>
      <c r="E29" s="3" t="s">
        <v>46</v>
      </c>
      <c r="F29" s="3" t="s">
        <v>47</v>
      </c>
      <c r="G29" s="4">
        <v>62.496642475359721</v>
      </c>
      <c r="H29" s="4">
        <v>144.75209694293301</v>
      </c>
      <c r="I29" s="4">
        <v>150.20632473478491</v>
      </c>
      <c r="J29" s="4">
        <v>7.5820601906327258</v>
      </c>
      <c r="K29" s="4">
        <v>7.1953050230210556</v>
      </c>
      <c r="L29" s="4">
        <v>23.205310056700149</v>
      </c>
      <c r="M29" s="4">
        <v>12.352590486041789</v>
      </c>
      <c r="N29" s="4">
        <v>88.880656371538578</v>
      </c>
      <c r="O29" s="4">
        <v>2274.7039936025221</v>
      </c>
      <c r="P29" s="5">
        <v>3.6311572109112442E-2</v>
      </c>
      <c r="Q29" s="5">
        <v>0.96368842789088749</v>
      </c>
      <c r="R29" s="5">
        <v>2.0215951929924401E-2</v>
      </c>
      <c r="S29" s="5">
        <v>5.2968312943585611E-3</v>
      </c>
      <c r="T29" s="5">
        <v>0.90016108190987143</v>
      </c>
      <c r="U29" s="5">
        <v>0.89220574306479494</v>
      </c>
      <c r="V29" s="5">
        <v>2.3161579760065312</v>
      </c>
      <c r="W29" s="4">
        <v>1.62861192583728</v>
      </c>
      <c r="X29" s="6">
        <v>98079.696157448299</v>
      </c>
      <c r="Y29" s="6">
        <v>16473.60516726955</v>
      </c>
      <c r="Z29" s="6">
        <v>5329.0571216722929</v>
      </c>
      <c r="AA29" s="6">
        <v>123808.1613122706</v>
      </c>
      <c r="AB29" s="6">
        <v>855.31169445566445</v>
      </c>
      <c r="AC29" s="3" t="s">
        <v>77</v>
      </c>
      <c r="AD29" s="3" t="s">
        <v>49</v>
      </c>
    </row>
    <row r="30" spans="1:30">
      <c r="A30" s="2">
        <v>45950</v>
      </c>
      <c r="B30" s="3" t="s">
        <v>30</v>
      </c>
      <c r="C30" s="3" t="s">
        <v>31</v>
      </c>
      <c r="D30" s="3" t="s">
        <v>45</v>
      </c>
      <c r="E30" s="3" t="s">
        <v>46</v>
      </c>
      <c r="F30" s="3" t="s">
        <v>47</v>
      </c>
      <c r="G30" s="4">
        <v>114.1200701180213</v>
      </c>
      <c r="H30" s="4">
        <v>84.920400005090244</v>
      </c>
      <c r="I30" s="4">
        <v>88.346668713672173</v>
      </c>
      <c r="J30" s="4">
        <v>7.5332361468910438</v>
      </c>
      <c r="K30" s="4">
        <v>7.3926799447638603</v>
      </c>
      <c r="L30" s="4">
        <v>8.4333721276310065</v>
      </c>
      <c r="M30" s="4">
        <v>13.148841370981</v>
      </c>
      <c r="N30" s="4">
        <v>97.205175900132559</v>
      </c>
      <c r="O30" s="4">
        <v>1586.1994451188721</v>
      </c>
      <c r="P30" s="5">
        <v>3.8782092844794447E-2</v>
      </c>
      <c r="Q30" s="5">
        <v>0.96121790715520561</v>
      </c>
      <c r="R30" s="5">
        <v>2.5613711241268319E-2</v>
      </c>
      <c r="S30" s="5">
        <v>1.205584769885642E-2</v>
      </c>
      <c r="T30" s="5">
        <v>0.78370201933380257</v>
      </c>
      <c r="U30" s="5">
        <v>0.56539724105695977</v>
      </c>
      <c r="V30" s="5">
        <v>0.74413203494588442</v>
      </c>
      <c r="W30" s="4">
        <v>0.87362014644504582</v>
      </c>
      <c r="X30" s="6">
        <v>72707.501559503362</v>
      </c>
      <c r="Y30" s="6">
        <v>14977.823444869529</v>
      </c>
      <c r="Z30" s="6">
        <v>4415.9823513389474</v>
      </c>
      <c r="AA30" s="6">
        <v>95734.220241286894</v>
      </c>
      <c r="AB30" s="6">
        <v>1127.3406653236259</v>
      </c>
      <c r="AC30" s="3" t="s">
        <v>78</v>
      </c>
      <c r="AD30" s="3" t="s">
        <v>36</v>
      </c>
    </row>
    <row r="31" spans="1:30">
      <c r="A31" s="2">
        <v>45951</v>
      </c>
      <c r="B31" s="3" t="s">
        <v>30</v>
      </c>
      <c r="C31" s="3" t="s">
        <v>31</v>
      </c>
      <c r="D31" s="3" t="s">
        <v>37</v>
      </c>
      <c r="E31" s="3" t="s">
        <v>46</v>
      </c>
      <c r="F31" s="3" t="s">
        <v>47</v>
      </c>
      <c r="G31" s="4">
        <v>113.39539466326519</v>
      </c>
      <c r="H31" s="4">
        <v>143.3153247704175</v>
      </c>
      <c r="I31" s="4">
        <v>148.92990162055659</v>
      </c>
      <c r="J31" s="4">
        <v>7.4011285812821068</v>
      </c>
      <c r="K31" s="4">
        <v>7.0445268642481658</v>
      </c>
      <c r="L31" s="4">
        <v>21.396103022036471</v>
      </c>
      <c r="M31" s="4">
        <v>15.70573842418222</v>
      </c>
      <c r="N31" s="4">
        <v>110.6394962520063</v>
      </c>
      <c r="O31" s="4">
        <v>2442.34193370292</v>
      </c>
      <c r="P31" s="5">
        <v>3.7699459873705592E-2</v>
      </c>
      <c r="Q31" s="5">
        <v>0.9623005401262944</v>
      </c>
      <c r="R31" s="5">
        <v>4.8556421424070233E-2</v>
      </c>
      <c r="S31" s="5">
        <v>8.9701850255090379E-3</v>
      </c>
      <c r="T31" s="5">
        <v>0.8569221080983882</v>
      </c>
      <c r="U31" s="5">
        <v>0.84873331018863196</v>
      </c>
      <c r="V31" s="5">
        <v>1.263854896365072</v>
      </c>
      <c r="W31" s="4">
        <v>1.2953360203664039</v>
      </c>
      <c r="X31" s="6">
        <v>103685.5049421203</v>
      </c>
      <c r="Y31" s="6">
        <v>16139.158844963569</v>
      </c>
      <c r="Z31" s="6">
        <v>5420.3781693721503</v>
      </c>
      <c r="AA31" s="6">
        <v>130424.2827995137</v>
      </c>
      <c r="AB31" s="6">
        <v>910.05119660751961</v>
      </c>
      <c r="AC31" s="3" t="s">
        <v>79</v>
      </c>
      <c r="AD31" s="3" t="s">
        <v>49</v>
      </c>
    </row>
    <row r="32" spans="1:30">
      <c r="A32" s="2">
        <v>45952</v>
      </c>
      <c r="B32" s="3" t="s">
        <v>30</v>
      </c>
      <c r="C32" s="3" t="s">
        <v>63</v>
      </c>
      <c r="D32" s="3" t="s">
        <v>32</v>
      </c>
      <c r="E32" s="3" t="s">
        <v>38</v>
      </c>
      <c r="F32" s="3" t="s">
        <v>39</v>
      </c>
      <c r="G32" s="4">
        <v>87.259829045006342</v>
      </c>
      <c r="H32" s="4">
        <v>105.64134950965121</v>
      </c>
      <c r="I32" s="4">
        <v>109.126672234837</v>
      </c>
      <c r="J32" s="4">
        <v>7.5020443712833798</v>
      </c>
      <c r="K32" s="4">
        <v>7.4036113910526549</v>
      </c>
      <c r="L32" s="4">
        <v>5.9059788138434897</v>
      </c>
      <c r="M32" s="4">
        <v>15.59387759557038</v>
      </c>
      <c r="N32" s="4">
        <v>115.4510097972457</v>
      </c>
      <c r="O32" s="4">
        <v>1905.7894897683609</v>
      </c>
      <c r="P32" s="5">
        <v>3.1938321345358393E-2</v>
      </c>
      <c r="Q32" s="5">
        <v>0.96806167865464166</v>
      </c>
      <c r="R32" s="5">
        <v>3.5848318124461077E-2</v>
      </c>
      <c r="S32" s="5">
        <v>1.755769930447831E-2</v>
      </c>
      <c r="T32" s="5">
        <v>0.80205195187787914</v>
      </c>
      <c r="U32" s="5">
        <v>0.81651250249512108</v>
      </c>
      <c r="V32" s="5">
        <v>1.210652721484982</v>
      </c>
      <c r="W32" s="4">
        <v>0.9150318364055704</v>
      </c>
      <c r="X32" s="6">
        <v>71878.46382476436</v>
      </c>
      <c r="Y32" s="6">
        <v>20975.491285442</v>
      </c>
      <c r="Z32" s="6">
        <v>3852.7925313318551</v>
      </c>
      <c r="AA32" s="6">
        <v>100514.46135028391</v>
      </c>
      <c r="AB32" s="6">
        <v>951.46892591618291</v>
      </c>
      <c r="AC32" s="3" t="s">
        <v>80</v>
      </c>
      <c r="AD32" s="3" t="s">
        <v>43</v>
      </c>
    </row>
    <row r="33" spans="1:30">
      <c r="A33" s="2">
        <v>45953</v>
      </c>
      <c r="B33" s="3" t="s">
        <v>30</v>
      </c>
      <c r="C33" s="3" t="s">
        <v>63</v>
      </c>
      <c r="D33" s="3" t="s">
        <v>45</v>
      </c>
      <c r="E33" s="3" t="s">
        <v>46</v>
      </c>
      <c r="F33" s="3" t="s">
        <v>47</v>
      </c>
      <c r="G33" s="4">
        <v>85.631188296190047</v>
      </c>
      <c r="H33" s="4">
        <v>100.7953809968038</v>
      </c>
      <c r="I33" s="4">
        <v>105.9918691786354</v>
      </c>
      <c r="J33" s="4">
        <v>8.2273842199325689</v>
      </c>
      <c r="K33" s="4">
        <v>8.0672619538759616</v>
      </c>
      <c r="L33" s="4">
        <v>9.6073359633964603</v>
      </c>
      <c r="M33" s="4">
        <v>19.037384653987729</v>
      </c>
      <c r="N33" s="4">
        <v>153.5795689204173</v>
      </c>
      <c r="O33" s="4">
        <v>1790.5203890051091</v>
      </c>
      <c r="P33" s="5">
        <v>4.9027234089754401E-2</v>
      </c>
      <c r="Q33" s="5">
        <v>0.9509727659102456</v>
      </c>
      <c r="R33" s="5">
        <v>3.6012792538926343E-2</v>
      </c>
      <c r="S33" s="5">
        <v>1.2872214284881261E-2</v>
      </c>
      <c r="T33" s="5">
        <v>0.76092801967553825</v>
      </c>
      <c r="U33" s="5">
        <v>0.77334028118119591</v>
      </c>
      <c r="V33" s="5">
        <v>1.1770872622736741</v>
      </c>
      <c r="W33" s="4">
        <v>0.65630722696607191</v>
      </c>
      <c r="X33" s="6">
        <v>83489.819280427488</v>
      </c>
      <c r="Y33" s="6">
        <v>26868.025228418679</v>
      </c>
      <c r="Z33" s="6">
        <v>4870.4974811393686</v>
      </c>
      <c r="AA33" s="6">
        <v>121498.4449375604</v>
      </c>
      <c r="AB33" s="6">
        <v>1205.3969510905781</v>
      </c>
      <c r="AC33" s="3" t="s">
        <v>81</v>
      </c>
      <c r="AD33" s="3" t="s">
        <v>49</v>
      </c>
    </row>
    <row r="34" spans="1:30">
      <c r="A34" s="2">
        <v>45954</v>
      </c>
      <c r="B34" s="3" t="s">
        <v>30</v>
      </c>
      <c r="C34" s="3" t="s">
        <v>63</v>
      </c>
      <c r="D34" s="3" t="s">
        <v>45</v>
      </c>
      <c r="E34" s="3" t="s">
        <v>46</v>
      </c>
      <c r="F34" s="3" t="s">
        <v>47</v>
      </c>
      <c r="G34" s="4">
        <v>148.91850044055039</v>
      </c>
      <c r="H34" s="4">
        <v>134.76988415963041</v>
      </c>
      <c r="I34" s="4">
        <v>141.73243034369921</v>
      </c>
      <c r="J34" s="4">
        <v>8.3053742808105557</v>
      </c>
      <c r="K34" s="4">
        <v>8.0865336425207328</v>
      </c>
      <c r="L34" s="4">
        <v>13.13043829738932</v>
      </c>
      <c r="M34" s="4">
        <v>13.4193341265032</v>
      </c>
      <c r="N34" s="4">
        <v>108.51589687419469</v>
      </c>
      <c r="O34" s="4">
        <v>2240.9437725958619</v>
      </c>
      <c r="P34" s="5">
        <v>4.9124580501334329E-2</v>
      </c>
      <c r="Q34" s="5">
        <v>0.95087541949866572</v>
      </c>
      <c r="R34" s="5">
        <v>2.0792929971744461E-2</v>
      </c>
      <c r="S34" s="5">
        <v>9.8856325158203362E-3</v>
      </c>
      <c r="T34" s="5">
        <v>0.84970856210507517</v>
      </c>
      <c r="U34" s="5">
        <v>0.7413149298421583</v>
      </c>
      <c r="V34" s="5">
        <v>0.90499087595521222</v>
      </c>
      <c r="W34" s="4">
        <v>1.2419367856847059</v>
      </c>
      <c r="X34" s="6">
        <v>98216.8172753299</v>
      </c>
      <c r="Y34" s="6">
        <v>15738.70085965408</v>
      </c>
      <c r="Z34" s="6">
        <v>5374.6916643601025</v>
      </c>
      <c r="AA34" s="6">
        <v>124329.58124227849</v>
      </c>
      <c r="AB34" s="6">
        <v>922.5323744807431</v>
      </c>
      <c r="AC34" s="3" t="s">
        <v>82</v>
      </c>
      <c r="AD34" s="3" t="s">
        <v>49</v>
      </c>
    </row>
    <row r="35" spans="1:30">
      <c r="A35" s="2">
        <v>45955</v>
      </c>
      <c r="B35" s="3" t="s">
        <v>30</v>
      </c>
      <c r="C35" s="3" t="s">
        <v>44</v>
      </c>
      <c r="D35" s="3" t="s">
        <v>37</v>
      </c>
      <c r="E35" s="3" t="s">
        <v>38</v>
      </c>
      <c r="F35" s="3" t="s">
        <v>39</v>
      </c>
      <c r="G35" s="4">
        <v>78.026805482901679</v>
      </c>
      <c r="H35" s="4">
        <v>103.0128566993121</v>
      </c>
      <c r="I35" s="4">
        <v>105.3995499217293</v>
      </c>
      <c r="J35" s="4">
        <v>7.7368393512100422</v>
      </c>
      <c r="K35" s="4">
        <v>7.4830374133587538</v>
      </c>
      <c r="L35" s="4">
        <v>15.228116271077321</v>
      </c>
      <c r="M35" s="4">
        <v>15.83460754623402</v>
      </c>
      <c r="N35" s="4">
        <v>118.490960694322</v>
      </c>
      <c r="O35" s="4">
        <v>1999.36140691117</v>
      </c>
      <c r="P35" s="5">
        <v>2.2644244915557759E-2</v>
      </c>
      <c r="Q35" s="5">
        <v>0.97735575508444228</v>
      </c>
      <c r="R35" s="5">
        <v>2.8202484153096709E-2</v>
      </c>
      <c r="S35" s="5">
        <v>1.970034674643362E-2</v>
      </c>
      <c r="T35" s="5">
        <v>0.7404937603841546</v>
      </c>
      <c r="U35" s="5">
        <v>0.73719755958989985</v>
      </c>
      <c r="V35" s="5">
        <v>1.3202239417822339</v>
      </c>
      <c r="W35" s="4">
        <v>0.86937312429308689</v>
      </c>
      <c r="X35" s="6">
        <v>72213.471515253113</v>
      </c>
      <c r="Y35" s="6">
        <v>20712.84786984184</v>
      </c>
      <c r="Z35" s="6">
        <v>5363.7691725101467</v>
      </c>
      <c r="AA35" s="6">
        <v>102547.03870008681</v>
      </c>
      <c r="AB35" s="6">
        <v>995.47805959226082</v>
      </c>
      <c r="AC35" s="3" t="s">
        <v>83</v>
      </c>
      <c r="AD35" s="3" t="s">
        <v>49</v>
      </c>
    </row>
    <row r="36" spans="1:30">
      <c r="A36" s="2">
        <v>45956</v>
      </c>
      <c r="B36" s="3" t="s">
        <v>30</v>
      </c>
      <c r="C36" s="3" t="s">
        <v>31</v>
      </c>
      <c r="D36" s="3" t="s">
        <v>45</v>
      </c>
      <c r="E36" s="3" t="s">
        <v>46</v>
      </c>
      <c r="F36" s="3" t="s">
        <v>47</v>
      </c>
      <c r="G36" s="4">
        <v>109.0404351779756</v>
      </c>
      <c r="H36" s="4">
        <v>122.0895113491316</v>
      </c>
      <c r="I36" s="4">
        <v>127.4888387614163</v>
      </c>
      <c r="J36" s="4">
        <v>8.0892587106029428</v>
      </c>
      <c r="K36" s="4">
        <v>7.8009837757150411</v>
      </c>
      <c r="L36" s="4">
        <v>17.29649609327409</v>
      </c>
      <c r="M36" s="4">
        <v>14.71729752372279</v>
      </c>
      <c r="N36" s="4">
        <v>114.8093992049327</v>
      </c>
      <c r="O36" s="4">
        <v>2132.0940619442431</v>
      </c>
      <c r="P36" s="5">
        <v>4.2351373380920911E-2</v>
      </c>
      <c r="Q36" s="5">
        <v>0.95764862661907912</v>
      </c>
      <c r="R36" s="5">
        <v>1.6587062750237431E-2</v>
      </c>
      <c r="S36" s="5">
        <v>2.0025082463174439E-2</v>
      </c>
      <c r="T36" s="5">
        <v>0.83006803108502536</v>
      </c>
      <c r="U36" s="5">
        <v>0.82368014339962392</v>
      </c>
      <c r="V36" s="5">
        <v>1.119671901069152</v>
      </c>
      <c r="W36" s="4">
        <v>1.0634104193089979</v>
      </c>
      <c r="X36" s="6">
        <v>99321.896840279733</v>
      </c>
      <c r="Y36" s="6">
        <v>22121.434269650479</v>
      </c>
      <c r="Z36" s="6">
        <v>5275.1248017855987</v>
      </c>
      <c r="AA36" s="6">
        <v>130436.9819886451</v>
      </c>
      <c r="AB36" s="6">
        <v>1068.3717261808249</v>
      </c>
      <c r="AC36" s="3" t="s">
        <v>84</v>
      </c>
      <c r="AD36" s="3" t="s">
        <v>41</v>
      </c>
    </row>
    <row r="37" spans="1:30">
      <c r="A37" s="2">
        <v>45957</v>
      </c>
      <c r="B37" s="3" t="s">
        <v>30</v>
      </c>
      <c r="C37" s="3" t="s">
        <v>44</v>
      </c>
      <c r="D37" s="3" t="s">
        <v>45</v>
      </c>
      <c r="E37" s="3" t="s">
        <v>38</v>
      </c>
      <c r="F37" s="3" t="s">
        <v>39</v>
      </c>
      <c r="G37" s="4">
        <v>103.10614503664409</v>
      </c>
      <c r="H37" s="4">
        <v>140.71056031479739</v>
      </c>
      <c r="I37" s="4">
        <v>147.02990935391631</v>
      </c>
      <c r="J37" s="4">
        <v>7.9085692332512547</v>
      </c>
      <c r="K37" s="4">
        <v>7.5758709015890746</v>
      </c>
      <c r="L37" s="4">
        <v>19.961899899730799</v>
      </c>
      <c r="M37" s="4">
        <v>13.281426384515591</v>
      </c>
      <c r="N37" s="4">
        <v>100.618371678049</v>
      </c>
      <c r="O37" s="4">
        <v>2355.8447614530619</v>
      </c>
      <c r="P37" s="5">
        <v>4.2980024043322927E-2</v>
      </c>
      <c r="Q37" s="5">
        <v>0.95701997595667698</v>
      </c>
      <c r="R37" s="5">
        <v>3.1761518508202372E-2</v>
      </c>
      <c r="S37" s="5">
        <v>1E-3</v>
      </c>
      <c r="T37" s="5">
        <v>0.88353112857234861</v>
      </c>
      <c r="U37" s="5">
        <v>0.88779212209500558</v>
      </c>
      <c r="V37" s="5">
        <v>1.364715558561409</v>
      </c>
      <c r="W37" s="4">
        <v>1.398457935346362</v>
      </c>
      <c r="X37" s="6">
        <v>92776.473404809803</v>
      </c>
      <c r="Y37" s="6">
        <v>16173.6625323232</v>
      </c>
      <c r="Z37" s="6">
        <v>4925.5612632620459</v>
      </c>
      <c r="AA37" s="6">
        <v>117535.3045682043</v>
      </c>
      <c r="AB37" s="6">
        <v>835.29839057747051</v>
      </c>
      <c r="AC37" s="3" t="s">
        <v>85</v>
      </c>
      <c r="AD37" s="3" t="s">
        <v>43</v>
      </c>
    </row>
    <row r="38" spans="1:30">
      <c r="A38" s="2">
        <v>45958</v>
      </c>
      <c r="B38" s="3" t="s">
        <v>30</v>
      </c>
      <c r="C38" s="3" t="s">
        <v>31</v>
      </c>
      <c r="D38" s="3" t="s">
        <v>32</v>
      </c>
      <c r="E38" s="3" t="s">
        <v>50</v>
      </c>
      <c r="F38" s="3" t="s">
        <v>51</v>
      </c>
      <c r="G38" s="4">
        <v>122.87354635134029</v>
      </c>
      <c r="H38" s="4">
        <v>168.48189137132249</v>
      </c>
      <c r="I38" s="4">
        <v>173.44086689967111</v>
      </c>
      <c r="J38" s="4">
        <v>8.206055390022339</v>
      </c>
      <c r="K38" s="4">
        <v>8.0509653061973481</v>
      </c>
      <c r="L38" s="4">
        <v>9.3054050294994752</v>
      </c>
      <c r="M38" s="4">
        <v>21.335943603872391</v>
      </c>
      <c r="N38" s="4">
        <v>171.7749417297598</v>
      </c>
      <c r="O38" s="4">
        <v>2500.1795201365921</v>
      </c>
      <c r="P38" s="5">
        <v>2.8591736290254761E-2</v>
      </c>
      <c r="Q38" s="5">
        <v>0.97140826370974509</v>
      </c>
      <c r="R38" s="5">
        <v>2.1417477305072419E-2</v>
      </c>
      <c r="S38" s="5">
        <v>5.2525646211946768E-3</v>
      </c>
      <c r="T38" s="5">
        <v>0.81618000954307535</v>
      </c>
      <c r="U38" s="5">
        <v>0.83637605710589291</v>
      </c>
      <c r="V38" s="5">
        <v>1.3711811563537959</v>
      </c>
      <c r="W38" s="4">
        <v>0.98082927390178953</v>
      </c>
      <c r="X38" s="6">
        <v>140566.98565446041</v>
      </c>
      <c r="Y38" s="6">
        <v>30358.91694707342</v>
      </c>
      <c r="Z38" s="6">
        <v>5380.783261877822</v>
      </c>
      <c r="AA38" s="6">
        <v>179528.92142654091</v>
      </c>
      <c r="AB38" s="6">
        <v>1065.5680558029319</v>
      </c>
      <c r="AC38" s="3" t="s">
        <v>86</v>
      </c>
      <c r="AD38" s="3" t="s">
        <v>43</v>
      </c>
    </row>
    <row r="39" spans="1:30">
      <c r="A39" s="2">
        <v>45959</v>
      </c>
      <c r="B39" s="3" t="s">
        <v>30</v>
      </c>
      <c r="C39" s="3" t="s">
        <v>31</v>
      </c>
      <c r="D39" s="3" t="s">
        <v>37</v>
      </c>
      <c r="E39" s="3" t="s">
        <v>46</v>
      </c>
      <c r="F39" s="3" t="s">
        <v>47</v>
      </c>
      <c r="G39" s="4">
        <v>122.6080454675519</v>
      </c>
      <c r="H39" s="4">
        <v>161.19692564076701</v>
      </c>
      <c r="I39" s="4">
        <v>171.0071411744951</v>
      </c>
      <c r="J39" s="4">
        <v>7.2762090372501724</v>
      </c>
      <c r="K39" s="4">
        <v>7.1145573346741173</v>
      </c>
      <c r="L39" s="4">
        <v>9.699102154563235</v>
      </c>
      <c r="M39" s="4">
        <v>14.58142664026906</v>
      </c>
      <c r="N39" s="4">
        <v>103.7403958535388</v>
      </c>
      <c r="O39" s="4">
        <v>2535.9401782105642</v>
      </c>
      <c r="P39" s="5">
        <v>5.7367285753977669E-2</v>
      </c>
      <c r="Q39" s="5">
        <v>0.94263271424602224</v>
      </c>
      <c r="R39" s="5">
        <v>1.9699802613285231E-2</v>
      </c>
      <c r="S39" s="5">
        <v>1.7990145846610212E-2</v>
      </c>
      <c r="T39" s="5">
        <v>0.91949157341577747</v>
      </c>
      <c r="U39" s="5">
        <v>0.9270338975599165</v>
      </c>
      <c r="V39" s="5">
        <v>1.314733670421552</v>
      </c>
      <c r="W39" s="4">
        <v>1.5538491473306659</v>
      </c>
      <c r="X39" s="6">
        <v>118227.5947497926</v>
      </c>
      <c r="Y39" s="6">
        <v>19816.337549576121</v>
      </c>
      <c r="Z39" s="6">
        <v>5074.3331567389787</v>
      </c>
      <c r="AA39" s="6">
        <v>146927.30654364821</v>
      </c>
      <c r="AB39" s="6">
        <v>911.47710143728705</v>
      </c>
      <c r="AC39" s="3" t="s">
        <v>87</v>
      </c>
      <c r="AD39" s="3" t="s">
        <v>43</v>
      </c>
    </row>
    <row r="40" spans="1:30">
      <c r="A40" s="2">
        <v>45960</v>
      </c>
      <c r="B40" s="3" t="s">
        <v>30</v>
      </c>
      <c r="C40" s="3" t="s">
        <v>31</v>
      </c>
      <c r="D40" s="3" t="s">
        <v>37</v>
      </c>
      <c r="E40" s="3" t="s">
        <v>33</v>
      </c>
      <c r="F40" s="3" t="s">
        <v>34</v>
      </c>
      <c r="G40" s="4">
        <v>113.2145839562511</v>
      </c>
      <c r="H40" s="4">
        <v>155.07558039319639</v>
      </c>
      <c r="I40" s="4">
        <v>162.32704753338709</v>
      </c>
      <c r="J40" s="4">
        <v>7.3143188150261436</v>
      </c>
      <c r="K40" s="4">
        <v>6.8809401874975924</v>
      </c>
      <c r="L40" s="4">
        <v>26.002717651713098</v>
      </c>
      <c r="M40" s="4">
        <v>17.95948803618019</v>
      </c>
      <c r="N40" s="4">
        <v>123.5781629750345</v>
      </c>
      <c r="O40" s="4">
        <v>2290.0402570596898</v>
      </c>
      <c r="P40" s="5">
        <v>4.467195855761074E-2</v>
      </c>
      <c r="Q40" s="5">
        <v>0.95532804144238925</v>
      </c>
      <c r="R40" s="5">
        <v>3.7629007756763783E-2</v>
      </c>
      <c r="S40" s="5">
        <v>1.4481605664839839E-2</v>
      </c>
      <c r="T40" s="5">
        <v>0.98</v>
      </c>
      <c r="U40" s="5">
        <v>0.95401236973587267</v>
      </c>
      <c r="V40" s="5">
        <v>1.369749152221603</v>
      </c>
      <c r="W40" s="4">
        <v>1.2548785049064459</v>
      </c>
      <c r="X40" s="6">
        <v>139107.1305379103</v>
      </c>
      <c r="Y40" s="6">
        <v>19267.613035195849</v>
      </c>
      <c r="Z40" s="6">
        <v>6051.061778019689</v>
      </c>
      <c r="AA40" s="6">
        <v>169413.70296619611</v>
      </c>
      <c r="AB40" s="6">
        <v>1092.458932197095</v>
      </c>
      <c r="AC40" s="3" t="s">
        <v>88</v>
      </c>
      <c r="AD40" s="3" t="s">
        <v>36</v>
      </c>
    </row>
    <row r="41" spans="1:30">
      <c r="A41" s="2">
        <v>45961</v>
      </c>
      <c r="B41" s="3" t="s">
        <v>30</v>
      </c>
      <c r="C41" s="3" t="s">
        <v>44</v>
      </c>
      <c r="D41" s="3" t="s">
        <v>32</v>
      </c>
      <c r="E41" s="3" t="s">
        <v>46</v>
      </c>
      <c r="F41" s="3" t="s">
        <v>47</v>
      </c>
      <c r="G41" s="4">
        <v>59.279843883667752</v>
      </c>
      <c r="H41" s="4">
        <v>132.77270651978509</v>
      </c>
      <c r="I41" s="4">
        <v>141.83047147640511</v>
      </c>
      <c r="J41" s="4">
        <v>8.3204709924936182</v>
      </c>
      <c r="K41" s="4">
        <v>7.9516042393212416</v>
      </c>
      <c r="L41" s="4">
        <v>22.132005190342529</v>
      </c>
      <c r="M41" s="4">
        <v>10.03999372041388</v>
      </c>
      <c r="N41" s="4">
        <v>79.834056630001626</v>
      </c>
      <c r="O41" s="4">
        <v>2269.8264034963941</v>
      </c>
      <c r="P41" s="5">
        <v>6.386332120546391E-2</v>
      </c>
      <c r="Q41" s="5">
        <v>0.9361366787945361</v>
      </c>
      <c r="R41" s="5">
        <v>4.4435492088249047E-2</v>
      </c>
      <c r="S41" s="5">
        <v>1.202658632320731E-2</v>
      </c>
      <c r="T41" s="5">
        <v>0.7823089291705283</v>
      </c>
      <c r="U41" s="5">
        <v>0.77556765746216061</v>
      </c>
      <c r="V41" s="5">
        <v>2.2397614065978568</v>
      </c>
      <c r="W41" s="4">
        <v>1.6631086045787771</v>
      </c>
      <c r="X41" s="6">
        <v>98864.505072196014</v>
      </c>
      <c r="Y41" s="6">
        <v>13176.237470408219</v>
      </c>
      <c r="Z41" s="6">
        <v>5553.9740112012332</v>
      </c>
      <c r="AA41" s="6">
        <v>121921.223955696</v>
      </c>
      <c r="AB41" s="6">
        <v>918.27023152177696</v>
      </c>
      <c r="AC41" s="3" t="s">
        <v>89</v>
      </c>
      <c r="AD41" s="3" t="s">
        <v>43</v>
      </c>
    </row>
    <row r="42" spans="1:30">
      <c r="A42" s="2">
        <v>45962</v>
      </c>
      <c r="B42" s="3" t="s">
        <v>30</v>
      </c>
      <c r="C42" s="3" t="s">
        <v>31</v>
      </c>
      <c r="D42" s="3" t="s">
        <v>37</v>
      </c>
      <c r="E42" s="3" t="s">
        <v>50</v>
      </c>
      <c r="F42" s="3" t="s">
        <v>51</v>
      </c>
      <c r="G42" s="4">
        <v>83.546487834848364</v>
      </c>
      <c r="H42" s="4">
        <v>115.1952016336387</v>
      </c>
      <c r="I42" s="4">
        <v>120.1532370309813</v>
      </c>
      <c r="J42" s="4">
        <v>8.1370353502992767</v>
      </c>
      <c r="K42" s="4">
        <v>7.9641664699148773</v>
      </c>
      <c r="L42" s="4">
        <v>10.37213282306397</v>
      </c>
      <c r="M42" s="4">
        <v>15.64518878041997</v>
      </c>
      <c r="N42" s="4">
        <v>124.60088790050909</v>
      </c>
      <c r="O42" s="4">
        <v>2122.0838180539058</v>
      </c>
      <c r="P42" s="5">
        <v>4.126426819499044E-2</v>
      </c>
      <c r="Q42" s="5">
        <v>0.95873573180500959</v>
      </c>
      <c r="R42" s="5">
        <v>2.229183427034646E-2</v>
      </c>
      <c r="S42" s="5">
        <v>7.1471561926911634E-3</v>
      </c>
      <c r="T42" s="5">
        <v>0.76226842837217712</v>
      </c>
      <c r="U42" s="5">
        <v>0.77777905220841148</v>
      </c>
      <c r="V42" s="5">
        <v>1.3788156105538789</v>
      </c>
      <c r="W42" s="4">
        <v>0.92451348922665233</v>
      </c>
      <c r="X42" s="6">
        <v>103492.520541012</v>
      </c>
      <c r="Y42" s="6">
        <v>21356.091463445591</v>
      </c>
      <c r="Z42" s="6">
        <v>5512.8958933537406</v>
      </c>
      <c r="AA42" s="6">
        <v>134319.94324658511</v>
      </c>
      <c r="AB42" s="6">
        <v>1166.020297214895</v>
      </c>
      <c r="AC42" s="3" t="s">
        <v>90</v>
      </c>
      <c r="AD42" s="3" t="s">
        <v>49</v>
      </c>
    </row>
    <row r="43" spans="1:30">
      <c r="A43" s="2">
        <v>45963</v>
      </c>
      <c r="B43" s="3" t="s">
        <v>30</v>
      </c>
      <c r="C43" s="3" t="s">
        <v>31</v>
      </c>
      <c r="D43" s="3" t="s">
        <v>45</v>
      </c>
      <c r="E43" s="3" t="s">
        <v>33</v>
      </c>
      <c r="F43" s="3" t="s">
        <v>34</v>
      </c>
      <c r="G43" s="4">
        <v>58.728027087200758</v>
      </c>
      <c r="H43" s="4">
        <v>157.36186551232191</v>
      </c>
      <c r="I43" s="4">
        <v>164.8348569745248</v>
      </c>
      <c r="J43" s="4">
        <v>7.4589251824396783</v>
      </c>
      <c r="K43" s="4">
        <v>7.3290353469704126</v>
      </c>
      <c r="L43" s="4">
        <v>7.7933901281559486</v>
      </c>
      <c r="M43" s="4">
        <v>14.584039691452009</v>
      </c>
      <c r="N43" s="4">
        <v>106.8869424002712</v>
      </c>
      <c r="O43" s="4">
        <v>2521.131545550812</v>
      </c>
      <c r="P43" s="5">
        <v>4.5336232877963442E-2</v>
      </c>
      <c r="Q43" s="5">
        <v>0.95466376712203649</v>
      </c>
      <c r="R43" s="5">
        <v>3.2123505819608988E-2</v>
      </c>
      <c r="S43" s="5">
        <v>8.0292457098046534E-3</v>
      </c>
      <c r="T43" s="5">
        <v>0.88923656321361966</v>
      </c>
      <c r="U43" s="5">
        <v>0.91007261074246226</v>
      </c>
      <c r="V43" s="5">
        <v>2.679501991079444</v>
      </c>
      <c r="W43" s="4">
        <v>1.472227214836324</v>
      </c>
      <c r="X43" s="6">
        <v>104001.2112317642</v>
      </c>
      <c r="Y43" s="6">
        <v>15561.48195039752</v>
      </c>
      <c r="Z43" s="6">
        <v>5045.3673946045028</v>
      </c>
      <c r="AA43" s="6">
        <v>131486.31897263991</v>
      </c>
      <c r="AB43" s="6">
        <v>835.56660023418544</v>
      </c>
      <c r="AC43" s="3" t="s">
        <v>91</v>
      </c>
      <c r="AD43" s="3" t="s">
        <v>43</v>
      </c>
    </row>
    <row r="44" spans="1:30">
      <c r="A44" s="2">
        <v>45964</v>
      </c>
      <c r="B44" s="3" t="s">
        <v>30</v>
      </c>
      <c r="C44" s="3" t="s">
        <v>56</v>
      </c>
      <c r="D44" s="3" t="s">
        <v>45</v>
      </c>
      <c r="E44" s="3" t="s">
        <v>33</v>
      </c>
      <c r="F44" s="3" t="s">
        <v>34</v>
      </c>
      <c r="G44" s="4">
        <v>75.722981540277146</v>
      </c>
      <c r="H44" s="4">
        <v>80.123339187544417</v>
      </c>
      <c r="I44" s="4">
        <v>82.501454046246209</v>
      </c>
      <c r="J44" s="4">
        <v>7.9518276282141098</v>
      </c>
      <c r="K44" s="4">
        <v>7.7471710624871966</v>
      </c>
      <c r="L44" s="4">
        <v>12.279393943614791</v>
      </c>
      <c r="M44" s="4">
        <v>20.352835875314881</v>
      </c>
      <c r="N44" s="4">
        <v>157.6769011327907</v>
      </c>
      <c r="O44" s="4">
        <v>1632.417861700073</v>
      </c>
      <c r="P44" s="5">
        <v>2.882512661375328E-2</v>
      </c>
      <c r="Q44" s="5">
        <v>0.97117487338624675</v>
      </c>
      <c r="R44" s="5">
        <v>4.9531483552860481E-3</v>
      </c>
      <c r="S44" s="5">
        <v>1.6459122897274709E-2</v>
      </c>
      <c r="T44" s="5">
        <v>0.73583988027486635</v>
      </c>
      <c r="U44" s="5">
        <v>0.74035706202518181</v>
      </c>
      <c r="V44" s="5">
        <v>1.0581112570815341</v>
      </c>
      <c r="W44" s="4">
        <v>0.50814887032861555</v>
      </c>
      <c r="X44" s="6">
        <v>70015.9554416014</v>
      </c>
      <c r="Y44" s="6">
        <v>29910.13856268756</v>
      </c>
      <c r="Z44" s="6">
        <v>4544.553294856586</v>
      </c>
      <c r="AA44" s="6">
        <v>107590.1920563927</v>
      </c>
      <c r="AB44" s="6">
        <v>1342.807141431746</v>
      </c>
      <c r="AC44" s="3" t="s">
        <v>92</v>
      </c>
      <c r="AD44" s="3" t="s">
        <v>43</v>
      </c>
    </row>
    <row r="45" spans="1:30">
      <c r="A45" s="2">
        <v>45965</v>
      </c>
      <c r="B45" s="3" t="s">
        <v>30</v>
      </c>
      <c r="C45" s="3" t="s">
        <v>56</v>
      </c>
      <c r="D45" s="3" t="s">
        <v>37</v>
      </c>
      <c r="E45" s="3" t="s">
        <v>46</v>
      </c>
      <c r="F45" s="3" t="s">
        <v>47</v>
      </c>
      <c r="G45" s="4">
        <v>131.16171369696971</v>
      </c>
      <c r="H45" s="4">
        <v>89.053790135478877</v>
      </c>
      <c r="I45" s="4">
        <v>96.195009742281655</v>
      </c>
      <c r="J45" s="4">
        <v>7.4148972974360916</v>
      </c>
      <c r="K45" s="4">
        <v>7.0692849521454617</v>
      </c>
      <c r="L45" s="4">
        <v>20.736740717437851</v>
      </c>
      <c r="M45" s="4">
        <v>20.938475070158098</v>
      </c>
      <c r="N45" s="4">
        <v>148.02004673434149</v>
      </c>
      <c r="O45" s="4">
        <v>1727.591288058027</v>
      </c>
      <c r="P45" s="5">
        <v>7.4236902994604323E-2</v>
      </c>
      <c r="Q45" s="5">
        <v>0.92576309700539572</v>
      </c>
      <c r="R45" s="5">
        <v>1.9747783653112329E-2</v>
      </c>
      <c r="S45" s="5">
        <v>9.2241827509973451E-3</v>
      </c>
      <c r="T45" s="5">
        <v>0.77455363039570002</v>
      </c>
      <c r="U45" s="5">
        <v>0.49675536344344112</v>
      </c>
      <c r="V45" s="5">
        <v>0.67896177646187894</v>
      </c>
      <c r="W45" s="4">
        <v>0.60163330643522794</v>
      </c>
      <c r="X45" s="6">
        <v>71535.257062015095</v>
      </c>
      <c r="Y45" s="6">
        <v>23125.709874430479</v>
      </c>
      <c r="Z45" s="6">
        <v>4438.3480198847483</v>
      </c>
      <c r="AA45" s="6">
        <v>104332.7351195253</v>
      </c>
      <c r="AB45" s="6">
        <v>1171.5698451554099</v>
      </c>
      <c r="AC45" s="3" t="s">
        <v>93</v>
      </c>
      <c r="AD45" s="3" t="s">
        <v>49</v>
      </c>
    </row>
    <row r="46" spans="1:30">
      <c r="A46" s="2">
        <v>45966</v>
      </c>
      <c r="B46" s="3" t="s">
        <v>30</v>
      </c>
      <c r="C46" s="3" t="s">
        <v>56</v>
      </c>
      <c r="D46" s="3" t="s">
        <v>45</v>
      </c>
      <c r="E46" s="3" t="s">
        <v>50</v>
      </c>
      <c r="F46" s="3" t="s">
        <v>51</v>
      </c>
      <c r="G46" s="4">
        <v>103.2858315023298</v>
      </c>
      <c r="H46" s="4">
        <v>119.3496420351193</v>
      </c>
      <c r="I46" s="4">
        <v>126.4078983501809</v>
      </c>
      <c r="J46" s="4">
        <v>8.291365840039294</v>
      </c>
      <c r="K46" s="4">
        <v>7.9594578027582878</v>
      </c>
      <c r="L46" s="4">
        <v>19.914482236860358</v>
      </c>
      <c r="M46" s="4">
        <v>14.79341298705125</v>
      </c>
      <c r="N46" s="4">
        <v>117.7475464292109</v>
      </c>
      <c r="O46" s="4">
        <v>2120.2671338508021</v>
      </c>
      <c r="P46" s="5">
        <v>5.5837146311131083E-2</v>
      </c>
      <c r="Q46" s="5">
        <v>0.94416285368886887</v>
      </c>
      <c r="R46" s="5">
        <v>1.3606237105351681E-2</v>
      </c>
      <c r="S46" s="5">
        <v>1E-3</v>
      </c>
      <c r="T46" s="5">
        <v>0.80722771228367163</v>
      </c>
      <c r="U46" s="5">
        <v>0.8128459700320263</v>
      </c>
      <c r="V46" s="5">
        <v>1.1555277263021999</v>
      </c>
      <c r="W46" s="4">
        <v>1.013606190995</v>
      </c>
      <c r="X46" s="6">
        <v>98528.978957905711</v>
      </c>
      <c r="Y46" s="6">
        <v>17241.682019909229</v>
      </c>
      <c r="Z46" s="6">
        <v>5306.7901359019124</v>
      </c>
      <c r="AA46" s="6">
        <v>128038.8783455183</v>
      </c>
      <c r="AB46" s="6">
        <v>1072.8048795307</v>
      </c>
      <c r="AC46" s="3" t="s">
        <v>94</v>
      </c>
      <c r="AD46" s="3" t="s">
        <v>49</v>
      </c>
    </row>
    <row r="47" spans="1:30">
      <c r="A47" s="2">
        <v>45967</v>
      </c>
      <c r="B47" s="3" t="s">
        <v>30</v>
      </c>
      <c r="C47" s="3" t="s">
        <v>56</v>
      </c>
      <c r="D47" s="3" t="s">
        <v>37</v>
      </c>
      <c r="E47" s="3" t="s">
        <v>33</v>
      </c>
      <c r="F47" s="3" t="s">
        <v>34</v>
      </c>
      <c r="G47" s="4">
        <v>106.69738596141831</v>
      </c>
      <c r="H47" s="4">
        <v>115.820676538448</v>
      </c>
      <c r="I47" s="4">
        <v>121.86867088449461</v>
      </c>
      <c r="J47" s="4">
        <v>8.4576515822766076</v>
      </c>
      <c r="K47" s="4">
        <v>8.1191401289441529</v>
      </c>
      <c r="L47" s="4">
        <v>20.310687199947282</v>
      </c>
      <c r="M47" s="4">
        <v>14.75257152660399</v>
      </c>
      <c r="N47" s="4">
        <v>119.77819548676941</v>
      </c>
      <c r="O47" s="4">
        <v>2152.4593574346659</v>
      </c>
      <c r="P47" s="5">
        <v>4.9627146190663343E-2</v>
      </c>
      <c r="Q47" s="5">
        <v>0.95037285380933667</v>
      </c>
      <c r="R47" s="5">
        <v>2.9321433606604191E-2</v>
      </c>
      <c r="S47" s="5">
        <v>4.1925511719110072E-3</v>
      </c>
      <c r="T47" s="5">
        <v>0.82272159018023472</v>
      </c>
      <c r="U47" s="5">
        <v>0.82580557569640767</v>
      </c>
      <c r="V47" s="5">
        <v>1.085506223932502</v>
      </c>
      <c r="W47" s="4">
        <v>0.96695960452369223</v>
      </c>
      <c r="X47" s="6">
        <v>98004.420952699133</v>
      </c>
      <c r="Y47" s="6">
        <v>21998.038757690611</v>
      </c>
      <c r="Z47" s="6">
        <v>4879.5800295059298</v>
      </c>
      <c r="AA47" s="6">
        <v>130829.70123418039</v>
      </c>
      <c r="AB47" s="6">
        <v>1129.5884737018439</v>
      </c>
      <c r="AC47" s="3" t="s">
        <v>95</v>
      </c>
      <c r="AD47" s="3" t="s">
        <v>49</v>
      </c>
    </row>
    <row r="48" spans="1:30">
      <c r="A48" s="2">
        <v>45968</v>
      </c>
      <c r="B48" s="3" t="s">
        <v>30</v>
      </c>
      <c r="C48" s="3" t="s">
        <v>31</v>
      </c>
      <c r="D48" s="3" t="s">
        <v>45</v>
      </c>
      <c r="E48" s="3" t="s">
        <v>33</v>
      </c>
      <c r="F48" s="3" t="s">
        <v>34</v>
      </c>
      <c r="G48" s="4">
        <v>65.253262211149632</v>
      </c>
      <c r="H48" s="4">
        <v>115.70008262690941</v>
      </c>
      <c r="I48" s="4">
        <v>120.6674507693985</v>
      </c>
      <c r="J48" s="4">
        <v>7.7339047274990653</v>
      </c>
      <c r="K48" s="4">
        <v>7.5955730613617014</v>
      </c>
      <c r="L48" s="4">
        <v>8.299899968241812</v>
      </c>
      <c r="M48" s="4">
        <v>18.823378245133799</v>
      </c>
      <c r="N48" s="4">
        <v>142.9743447225602</v>
      </c>
      <c r="O48" s="4">
        <v>1951.353442664423</v>
      </c>
      <c r="P48" s="5">
        <v>4.1165766831205597E-2</v>
      </c>
      <c r="Q48" s="5">
        <v>0.95883423316879435</v>
      </c>
      <c r="R48" s="5">
        <v>2.7438227078467839E-2</v>
      </c>
      <c r="S48" s="5">
        <v>1.1211292390832579E-2</v>
      </c>
      <c r="T48" s="5">
        <v>0.88285392138993468</v>
      </c>
      <c r="U48" s="5">
        <v>0.90020905096941006</v>
      </c>
      <c r="V48" s="5">
        <v>1.7730926961555049</v>
      </c>
      <c r="W48" s="4">
        <v>0.80923667005730227</v>
      </c>
      <c r="X48" s="6">
        <v>85538.233211597137</v>
      </c>
      <c r="Y48" s="6">
        <v>21456.262690892261</v>
      </c>
      <c r="Z48" s="6">
        <v>4194.2898824313452</v>
      </c>
      <c r="AA48" s="6">
        <v>115296.7326741868</v>
      </c>
      <c r="AB48" s="6">
        <v>996.51383176602144</v>
      </c>
      <c r="AC48" s="3" t="s">
        <v>96</v>
      </c>
      <c r="AD48" s="3" t="s">
        <v>41</v>
      </c>
    </row>
    <row r="49" spans="1:30">
      <c r="A49" s="2">
        <v>45969</v>
      </c>
      <c r="B49" s="3" t="s">
        <v>30</v>
      </c>
      <c r="C49" s="3" t="s">
        <v>44</v>
      </c>
      <c r="D49" s="3" t="s">
        <v>32</v>
      </c>
      <c r="E49" s="3" t="s">
        <v>50</v>
      </c>
      <c r="F49" s="3" t="s">
        <v>51</v>
      </c>
      <c r="G49" s="4">
        <v>89.353361942830077</v>
      </c>
      <c r="H49" s="4">
        <v>115.8806473502467</v>
      </c>
      <c r="I49" s="4">
        <v>123.06414145620791</v>
      </c>
      <c r="J49" s="4">
        <v>7.819490414945327</v>
      </c>
      <c r="K49" s="4">
        <v>7.5246186775482489</v>
      </c>
      <c r="L49" s="4">
        <v>17.69230424382469</v>
      </c>
      <c r="M49" s="4">
        <v>19.723823948169368</v>
      </c>
      <c r="N49" s="4">
        <v>148.41425407306869</v>
      </c>
      <c r="O49" s="4">
        <v>1994.483942998472</v>
      </c>
      <c r="P49" s="5">
        <v>5.8371951577116728E-2</v>
      </c>
      <c r="Q49" s="5">
        <v>0.94162804842288328</v>
      </c>
      <c r="R49" s="5">
        <v>4.0012298954689281E-2</v>
      </c>
      <c r="S49" s="5">
        <v>1.0677386537387231E-2</v>
      </c>
      <c r="T49" s="5">
        <v>0.79700068601349439</v>
      </c>
      <c r="U49" s="5">
        <v>0.79669478610425914</v>
      </c>
      <c r="V49" s="5">
        <v>1.296880663811947</v>
      </c>
      <c r="W49" s="4">
        <v>0.78079189949770755</v>
      </c>
      <c r="X49" s="6">
        <v>106537.4105676419</v>
      </c>
      <c r="Y49" s="6">
        <v>24148.934841527669</v>
      </c>
      <c r="Z49" s="6">
        <v>4488.7566217108297</v>
      </c>
      <c r="AA49" s="6">
        <v>142077.28543144421</v>
      </c>
      <c r="AB49" s="6">
        <v>1226.065686378319</v>
      </c>
      <c r="AC49" s="3" t="s">
        <v>97</v>
      </c>
      <c r="AD49" s="3" t="s">
        <v>36</v>
      </c>
    </row>
    <row r="50" spans="1:30">
      <c r="A50" s="2">
        <v>45970</v>
      </c>
      <c r="B50" s="3" t="s">
        <v>30</v>
      </c>
      <c r="C50" s="3" t="s">
        <v>44</v>
      </c>
      <c r="D50" s="3" t="s">
        <v>45</v>
      </c>
      <c r="E50" s="3" t="s">
        <v>38</v>
      </c>
      <c r="F50" s="3" t="s">
        <v>39</v>
      </c>
      <c r="G50" s="4">
        <v>71.657137410985086</v>
      </c>
      <c r="H50" s="4">
        <v>97.001935236082062</v>
      </c>
      <c r="I50" s="4">
        <v>103.952596463438</v>
      </c>
      <c r="J50" s="4">
        <v>7.8789813151548858</v>
      </c>
      <c r="K50" s="4">
        <v>7.719547312306017</v>
      </c>
      <c r="L50" s="4">
        <v>9.5660401709321103</v>
      </c>
      <c r="M50" s="4">
        <v>16.2652926648489</v>
      </c>
      <c r="N50" s="4">
        <v>125.5606962748051</v>
      </c>
      <c r="O50" s="4">
        <v>1889.031280743272</v>
      </c>
      <c r="P50" s="5">
        <v>6.6863757749433261E-2</v>
      </c>
      <c r="Q50" s="5">
        <v>0.93313624225056679</v>
      </c>
      <c r="R50" s="5">
        <v>2.2111794923149821E-2</v>
      </c>
      <c r="S50" s="5">
        <v>1.492670821276257E-2</v>
      </c>
      <c r="T50" s="5">
        <v>0.82752862373242364</v>
      </c>
      <c r="U50" s="5">
        <v>0.83861500877243689</v>
      </c>
      <c r="V50" s="5">
        <v>1.35369537133103</v>
      </c>
      <c r="W50" s="4">
        <v>0.77255015394133619</v>
      </c>
      <c r="X50" s="6">
        <v>73265.289002443198</v>
      </c>
      <c r="Y50" s="6">
        <v>24154.16897787046</v>
      </c>
      <c r="Z50" s="6">
        <v>5223.6187164255216</v>
      </c>
      <c r="AA50" s="6">
        <v>105344.4239380483</v>
      </c>
      <c r="AB50" s="6">
        <v>1086.0033223219971</v>
      </c>
      <c r="AC50" s="3" t="s">
        <v>98</v>
      </c>
      <c r="AD50" s="3" t="s">
        <v>49</v>
      </c>
    </row>
    <row r="51" spans="1:30">
      <c r="A51" s="2">
        <v>45971</v>
      </c>
      <c r="B51" s="3" t="s">
        <v>30</v>
      </c>
      <c r="C51" s="3" t="s">
        <v>31</v>
      </c>
      <c r="D51" s="3" t="s">
        <v>45</v>
      </c>
      <c r="E51" s="3" t="s">
        <v>38</v>
      </c>
      <c r="F51" s="3" t="s">
        <v>39</v>
      </c>
      <c r="G51" s="4">
        <v>126.5567117449385</v>
      </c>
      <c r="H51" s="4">
        <v>163.4653100689323</v>
      </c>
      <c r="I51" s="4">
        <v>176.65010945250799</v>
      </c>
      <c r="J51" s="4">
        <v>8.4135631237437849</v>
      </c>
      <c r="K51" s="4">
        <v>8.3418359659861281</v>
      </c>
      <c r="L51" s="4">
        <v>4.3036294654593901</v>
      </c>
      <c r="M51" s="4">
        <v>19.19892806806407</v>
      </c>
      <c r="N51" s="4">
        <v>160.1543086665574</v>
      </c>
      <c r="O51" s="4">
        <v>2517.9058334202018</v>
      </c>
      <c r="P51" s="5">
        <v>7.463793498028054E-2</v>
      </c>
      <c r="Q51" s="5">
        <v>0.9253620650197194</v>
      </c>
      <c r="R51" s="5">
        <v>3.2430980384479599E-2</v>
      </c>
      <c r="S51" s="5">
        <v>1E-3</v>
      </c>
      <c r="T51" s="5">
        <v>0.88249864154679469</v>
      </c>
      <c r="U51" s="5">
        <v>0.91780521497994616</v>
      </c>
      <c r="V51" s="5">
        <v>1.2916368307544139</v>
      </c>
      <c r="W51" s="4">
        <v>1.0206738203295449</v>
      </c>
      <c r="X51" s="6">
        <v>140507.59786537831</v>
      </c>
      <c r="Y51" s="6">
        <v>26063.64318384049</v>
      </c>
      <c r="Z51" s="6">
        <v>5232.7891218670784</v>
      </c>
      <c r="AA51" s="6">
        <v>177914.00529089369</v>
      </c>
      <c r="AB51" s="6">
        <v>1088.3899783744239</v>
      </c>
      <c r="AC51" s="3" t="s">
        <v>99</v>
      </c>
      <c r="AD51" s="3" t="s">
        <v>36</v>
      </c>
    </row>
    <row r="52" spans="1:30">
      <c r="A52" s="2">
        <v>45972</v>
      </c>
      <c r="B52" s="3" t="s">
        <v>30</v>
      </c>
      <c r="C52" s="3" t="s">
        <v>44</v>
      </c>
      <c r="D52" s="3" t="s">
        <v>45</v>
      </c>
      <c r="E52" s="3" t="s">
        <v>50</v>
      </c>
      <c r="F52" s="3" t="s">
        <v>51</v>
      </c>
      <c r="G52" s="4">
        <v>139.34969210041859</v>
      </c>
      <c r="H52" s="4">
        <v>77.026091809819718</v>
      </c>
      <c r="I52" s="4">
        <v>80.505722234311747</v>
      </c>
      <c r="J52" s="4">
        <v>7.4177818311397772</v>
      </c>
      <c r="K52" s="4">
        <v>7.1371754935690603</v>
      </c>
      <c r="L52" s="4">
        <v>16.836380254243011</v>
      </c>
      <c r="M52" s="4">
        <v>20.086043752411729</v>
      </c>
      <c r="N52" s="4">
        <v>143.35761923246889</v>
      </c>
      <c r="O52" s="4">
        <v>1675.5057061773371</v>
      </c>
      <c r="P52" s="5">
        <v>4.322215027603335E-2</v>
      </c>
      <c r="Q52" s="5">
        <v>0.95677784972396651</v>
      </c>
      <c r="R52" s="5">
        <v>2.3721320771103119E-2</v>
      </c>
      <c r="S52" s="5">
        <v>4.8958591326900914E-3</v>
      </c>
      <c r="T52" s="5">
        <v>0.73132587701195129</v>
      </c>
      <c r="U52" s="5">
        <v>0.38704694449722599</v>
      </c>
      <c r="V52" s="5">
        <v>0.55275394332635452</v>
      </c>
      <c r="W52" s="4">
        <v>0.53730029992276929</v>
      </c>
      <c r="X52" s="6">
        <v>58914.729177428453</v>
      </c>
      <c r="Y52" s="6">
        <v>27513.344108638361</v>
      </c>
      <c r="Z52" s="6">
        <v>4236.1001233086372</v>
      </c>
      <c r="AA52" s="6">
        <v>93723.668317540476</v>
      </c>
      <c r="AB52" s="6">
        <v>1216.778186655863</v>
      </c>
      <c r="AC52" s="3" t="s">
        <v>100</v>
      </c>
      <c r="AD52" s="3" t="s">
        <v>49</v>
      </c>
    </row>
    <row r="53" spans="1:30">
      <c r="A53" s="2">
        <v>45973</v>
      </c>
      <c r="B53" s="3" t="s">
        <v>30</v>
      </c>
      <c r="C53" s="3" t="s">
        <v>63</v>
      </c>
      <c r="D53" s="3" t="s">
        <v>45</v>
      </c>
      <c r="E53" s="3" t="s">
        <v>50</v>
      </c>
      <c r="F53" s="3" t="s">
        <v>51</v>
      </c>
      <c r="G53" s="4">
        <v>106.8047609078248</v>
      </c>
      <c r="H53" s="4">
        <v>109.1301190045176</v>
      </c>
      <c r="I53" s="4">
        <v>112.8832008362639</v>
      </c>
      <c r="J53" s="4">
        <v>8.0223195656905499</v>
      </c>
      <c r="K53" s="4">
        <v>7.9367649122539552</v>
      </c>
      <c r="L53" s="4">
        <v>5.1332792061956756</v>
      </c>
      <c r="M53" s="4">
        <v>16.404366603764089</v>
      </c>
      <c r="N53" s="4">
        <v>130.19760126850539</v>
      </c>
      <c r="O53" s="4">
        <v>1904.09478204323</v>
      </c>
      <c r="P53" s="5">
        <v>3.324747884488239E-2</v>
      </c>
      <c r="Q53" s="5">
        <v>0.96675252115511756</v>
      </c>
      <c r="R53" s="5">
        <v>1.853112280354929E-2</v>
      </c>
      <c r="S53" s="5">
        <v>6.4082241105533639E-3</v>
      </c>
      <c r="T53" s="5">
        <v>0.83044270967970446</v>
      </c>
      <c r="U53" s="5">
        <v>0.83409446709973667</v>
      </c>
      <c r="V53" s="5">
        <v>1.0217720453370021</v>
      </c>
      <c r="W53" s="4">
        <v>0.83818839933509581</v>
      </c>
      <c r="X53" s="6">
        <v>82450.519980803176</v>
      </c>
      <c r="Y53" s="6">
        <v>23845.629715976691</v>
      </c>
      <c r="Z53" s="6">
        <v>4375.8052749414737</v>
      </c>
      <c r="AA53" s="6">
        <v>116290.238694543</v>
      </c>
      <c r="AB53" s="6">
        <v>1065.6108483646849</v>
      </c>
      <c r="AC53" s="3" t="s">
        <v>101</v>
      </c>
      <c r="AD53" s="3" t="s">
        <v>41</v>
      </c>
    </row>
    <row r="54" spans="1:30">
      <c r="A54" s="2">
        <v>45974</v>
      </c>
      <c r="B54" s="3" t="s">
        <v>30</v>
      </c>
      <c r="C54" s="3" t="s">
        <v>56</v>
      </c>
      <c r="D54" s="3" t="s">
        <v>45</v>
      </c>
      <c r="E54" s="3" t="s">
        <v>50</v>
      </c>
      <c r="F54" s="3" t="s">
        <v>51</v>
      </c>
      <c r="G54" s="4">
        <v>83.130510428064596</v>
      </c>
      <c r="H54" s="4">
        <v>136.50420595213961</v>
      </c>
      <c r="I54" s="4">
        <v>141.5921572716741</v>
      </c>
      <c r="J54" s="4">
        <v>7.5678779771340476</v>
      </c>
      <c r="K54" s="4">
        <v>7.4146928818601143</v>
      </c>
      <c r="L54" s="4">
        <v>9.1911057164359828</v>
      </c>
      <c r="M54" s="4">
        <v>13.009548083193421</v>
      </c>
      <c r="N54" s="4">
        <v>96.461803568671115</v>
      </c>
      <c r="O54" s="4">
        <v>2378.721161200815</v>
      </c>
      <c r="P54" s="5">
        <v>3.5933849851388512E-2</v>
      </c>
      <c r="Q54" s="5">
        <v>0.96406615014861163</v>
      </c>
      <c r="R54" s="5">
        <v>7.6807552123883474E-3</v>
      </c>
      <c r="S54" s="5">
        <v>1.9433224288193069E-2</v>
      </c>
      <c r="T54" s="5">
        <v>0.94931784168203637</v>
      </c>
      <c r="U54" s="5">
        <v>0.95762872021419698</v>
      </c>
      <c r="V54" s="5">
        <v>1.6420470083635641</v>
      </c>
      <c r="W54" s="4">
        <v>1.415111483531015</v>
      </c>
      <c r="X54" s="6">
        <v>107502.2659187798</v>
      </c>
      <c r="Y54" s="6">
        <v>14623.031413999521</v>
      </c>
      <c r="Z54" s="6">
        <v>5745.8591602289198</v>
      </c>
      <c r="AA54" s="6">
        <v>131074.40403956201</v>
      </c>
      <c r="AB54" s="6">
        <v>960.22245706860281</v>
      </c>
      <c r="AC54" s="3" t="s">
        <v>102</v>
      </c>
      <c r="AD54" s="3" t="s">
        <v>41</v>
      </c>
    </row>
    <row r="55" spans="1:30">
      <c r="A55" s="2">
        <v>45975</v>
      </c>
      <c r="B55" s="3" t="s">
        <v>30</v>
      </c>
      <c r="C55" s="3" t="s">
        <v>31</v>
      </c>
      <c r="D55" s="3" t="s">
        <v>32</v>
      </c>
      <c r="E55" s="3" t="s">
        <v>50</v>
      </c>
      <c r="F55" s="3" t="s">
        <v>51</v>
      </c>
      <c r="G55" s="4">
        <v>109.1067172150118</v>
      </c>
      <c r="H55" s="4">
        <v>84.736273976617312</v>
      </c>
      <c r="I55" s="4">
        <v>89.881609961582413</v>
      </c>
      <c r="J55" s="4">
        <v>7.5735715375625299</v>
      </c>
      <c r="K55" s="4">
        <v>7.1126831507766619</v>
      </c>
      <c r="L55" s="4">
        <v>27.65330320715206</v>
      </c>
      <c r="M55" s="4">
        <v>14.14014014507273</v>
      </c>
      <c r="N55" s="4">
        <v>100.57433655947941</v>
      </c>
      <c r="O55" s="4">
        <v>1801.729686141314</v>
      </c>
      <c r="P55" s="5">
        <v>5.7245703399887292E-2</v>
      </c>
      <c r="Q55" s="5">
        <v>0.94275429660011267</v>
      </c>
      <c r="R55" s="5">
        <v>2.0993412320972429E-2</v>
      </c>
      <c r="S55" s="5">
        <v>1.255780707029751E-2</v>
      </c>
      <c r="T55" s="5">
        <v>0.78582982469480867</v>
      </c>
      <c r="U55" s="5">
        <v>0.56596658767161434</v>
      </c>
      <c r="V55" s="5">
        <v>0.77663663740914568</v>
      </c>
      <c r="W55" s="4">
        <v>0.84252381746017746</v>
      </c>
      <c r="X55" s="6">
        <v>69957.892589980358</v>
      </c>
      <c r="Y55" s="6">
        <v>18556.85421976669</v>
      </c>
      <c r="Z55" s="6">
        <v>4553.2979809144208</v>
      </c>
      <c r="AA55" s="6">
        <v>95945.180139241056</v>
      </c>
      <c r="AB55" s="6">
        <v>1132.279903712981</v>
      </c>
      <c r="AC55" s="3" t="s">
        <v>103</v>
      </c>
      <c r="AD55" s="3" t="s">
        <v>43</v>
      </c>
    </row>
    <row r="56" spans="1:30">
      <c r="A56" s="2">
        <v>45976</v>
      </c>
      <c r="B56" s="3" t="s">
        <v>30</v>
      </c>
      <c r="C56" s="3" t="s">
        <v>56</v>
      </c>
      <c r="D56" s="3" t="s">
        <v>37</v>
      </c>
      <c r="E56" s="3" t="s">
        <v>46</v>
      </c>
      <c r="F56" s="3" t="s">
        <v>47</v>
      </c>
      <c r="G56" s="4">
        <v>127.1256833922961</v>
      </c>
      <c r="H56" s="4">
        <v>127.621473221177</v>
      </c>
      <c r="I56" s="4">
        <v>138.1838178568845</v>
      </c>
      <c r="J56" s="4">
        <v>7.4747206626654688</v>
      </c>
      <c r="K56" s="4">
        <v>7.3539500471808781</v>
      </c>
      <c r="L56" s="4">
        <v>7.2462369290754554</v>
      </c>
      <c r="M56" s="4">
        <v>18.68326781630504</v>
      </c>
      <c r="N56" s="4">
        <v>137.39581823920949</v>
      </c>
      <c r="O56" s="4">
        <v>2119.7634338997109</v>
      </c>
      <c r="P56" s="5">
        <v>7.6436914245970947E-2</v>
      </c>
      <c r="Q56" s="5">
        <v>0.92356308575402912</v>
      </c>
      <c r="R56" s="5">
        <v>1.896349103491576E-2</v>
      </c>
      <c r="S56" s="5">
        <v>6.3716492374276054E-3</v>
      </c>
      <c r="T56" s="5">
        <v>0.81211080766008514</v>
      </c>
      <c r="U56" s="5">
        <v>0.79699468654479999</v>
      </c>
      <c r="V56" s="5">
        <v>1.0038999973542011</v>
      </c>
      <c r="W56" s="4">
        <v>0.9288599526295982</v>
      </c>
      <c r="X56" s="6">
        <v>117069.78526138249</v>
      </c>
      <c r="Y56" s="6">
        <v>26632.62341972598</v>
      </c>
      <c r="Z56" s="6">
        <v>5878.446378202023</v>
      </c>
      <c r="AA56" s="6">
        <v>155774.07722814311</v>
      </c>
      <c r="AB56" s="6">
        <v>1220.594569991961</v>
      </c>
      <c r="AC56" s="3" t="s">
        <v>104</v>
      </c>
      <c r="AD56" s="3" t="s">
        <v>41</v>
      </c>
    </row>
    <row r="57" spans="1:30">
      <c r="A57" s="2">
        <v>45977</v>
      </c>
      <c r="B57" s="3" t="s">
        <v>30</v>
      </c>
      <c r="C57" s="3" t="s">
        <v>44</v>
      </c>
      <c r="D57" s="3" t="s">
        <v>45</v>
      </c>
      <c r="E57" s="3" t="s">
        <v>46</v>
      </c>
      <c r="F57" s="3" t="s">
        <v>47</v>
      </c>
      <c r="G57" s="4">
        <v>57.787304284777314</v>
      </c>
      <c r="H57" s="4">
        <v>126.53426384107181</v>
      </c>
      <c r="I57" s="4">
        <v>129.2292664039382</v>
      </c>
      <c r="J57" s="4">
        <v>7.4754453858269088</v>
      </c>
      <c r="K57" s="4">
        <v>7.3433207655759754</v>
      </c>
      <c r="L57" s="4">
        <v>7.9274772150560242</v>
      </c>
      <c r="M57" s="4">
        <v>17.656823207801761</v>
      </c>
      <c r="N57" s="4">
        <v>129.6597165159545</v>
      </c>
      <c r="O57" s="4">
        <v>2112.4131478526838</v>
      </c>
      <c r="P57" s="5">
        <v>2.08544290148838E-2</v>
      </c>
      <c r="Q57" s="5">
        <v>0.97914557098511634</v>
      </c>
      <c r="R57" s="5">
        <v>3.8837948097361297E-2</v>
      </c>
      <c r="S57" s="5">
        <v>2.8109437366994668E-3</v>
      </c>
      <c r="T57" s="5">
        <v>0.84581253283809321</v>
      </c>
      <c r="U57" s="5">
        <v>0.86995411143084644</v>
      </c>
      <c r="V57" s="5">
        <v>2.1896550705585391</v>
      </c>
      <c r="W57" s="4">
        <v>0.97589495983127417</v>
      </c>
      <c r="X57" s="6">
        <v>91095.793385593832</v>
      </c>
      <c r="Y57" s="6">
        <v>21242.022689183479</v>
      </c>
      <c r="Z57" s="6">
        <v>4444.8040939916609</v>
      </c>
      <c r="AA57" s="6">
        <v>123749.9684511001</v>
      </c>
      <c r="AB57" s="6">
        <v>977.99571985127409</v>
      </c>
      <c r="AC57" s="3" t="s">
        <v>105</v>
      </c>
      <c r="AD57" s="3" t="s">
        <v>49</v>
      </c>
    </row>
    <row r="58" spans="1:30">
      <c r="A58" s="2">
        <v>45978</v>
      </c>
      <c r="B58" s="3" t="s">
        <v>30</v>
      </c>
      <c r="C58" s="3" t="s">
        <v>56</v>
      </c>
      <c r="D58" s="3" t="s">
        <v>37</v>
      </c>
      <c r="E58" s="3" t="s">
        <v>50</v>
      </c>
      <c r="F58" s="3" t="s">
        <v>51</v>
      </c>
      <c r="G58" s="4">
        <v>56.359095962971963</v>
      </c>
      <c r="H58" s="4">
        <v>111.7476175613251</v>
      </c>
      <c r="I58" s="4">
        <v>119.9731485575543</v>
      </c>
      <c r="J58" s="4">
        <v>7.428567972490872</v>
      </c>
      <c r="K58" s="4">
        <v>7.0117683976345164</v>
      </c>
      <c r="L58" s="4">
        <v>25.00797449138139</v>
      </c>
      <c r="M58" s="4">
        <v>14.24651249869045</v>
      </c>
      <c r="N58" s="4">
        <v>99.893246114822816</v>
      </c>
      <c r="O58" s="4">
        <v>2077.422183686369</v>
      </c>
      <c r="P58" s="5">
        <v>6.8561433080028877E-2</v>
      </c>
      <c r="Q58" s="5">
        <v>0.93143856691997118</v>
      </c>
      <c r="R58" s="5">
        <v>3.4944353939171953E-2</v>
      </c>
      <c r="S58" s="5">
        <v>7.2759857946613432E-3</v>
      </c>
      <c r="T58" s="5">
        <v>0.82571630056381196</v>
      </c>
      <c r="U58" s="5">
        <v>0.81240230325346252</v>
      </c>
      <c r="V58" s="5">
        <v>1.9827787449739001</v>
      </c>
      <c r="W58" s="4">
        <v>1.118670399727288</v>
      </c>
      <c r="X58" s="6">
        <v>80950.868802915429</v>
      </c>
      <c r="Y58" s="6">
        <v>15904.21961493894</v>
      </c>
      <c r="Z58" s="6">
        <v>5077.9812216569289</v>
      </c>
      <c r="AA58" s="6">
        <v>106738.81348663841</v>
      </c>
      <c r="AB58" s="6">
        <v>955.17753144099038</v>
      </c>
      <c r="AC58" s="3" t="s">
        <v>106</v>
      </c>
      <c r="AD58" s="3" t="s">
        <v>36</v>
      </c>
    </row>
    <row r="59" spans="1:30">
      <c r="A59" s="2">
        <v>45979</v>
      </c>
      <c r="B59" s="3" t="s">
        <v>30</v>
      </c>
      <c r="C59" s="3" t="s">
        <v>44</v>
      </c>
      <c r="D59" s="3" t="s">
        <v>45</v>
      </c>
      <c r="E59" s="3" t="s">
        <v>46</v>
      </c>
      <c r="F59" s="3" t="s">
        <v>47</v>
      </c>
      <c r="G59" s="4">
        <v>93.528476330450331</v>
      </c>
      <c r="H59" s="4">
        <v>62.683330459918317</v>
      </c>
      <c r="I59" s="4">
        <v>66.419548813769282</v>
      </c>
      <c r="J59" s="4">
        <v>8.1010768199154732</v>
      </c>
      <c r="K59" s="4">
        <v>7.7545733993488772</v>
      </c>
      <c r="L59" s="4">
        <v>20.790205233995739</v>
      </c>
      <c r="M59" s="4">
        <v>16.370833122809781</v>
      </c>
      <c r="N59" s="4">
        <v>126.94882705932019</v>
      </c>
      <c r="O59" s="4">
        <v>1507.893543439229</v>
      </c>
      <c r="P59" s="5">
        <v>5.6251787622447827E-2</v>
      </c>
      <c r="Q59" s="5">
        <v>0.94374821237755213</v>
      </c>
      <c r="R59" s="5">
        <v>2.137812649044666E-2</v>
      </c>
      <c r="S59" s="5">
        <v>1.2134491644242769E-2</v>
      </c>
      <c r="T59" s="5">
        <v>0.60438785239139725</v>
      </c>
      <c r="U59" s="5">
        <v>0.38303363628076642</v>
      </c>
      <c r="V59" s="5">
        <v>0.67020583376605625</v>
      </c>
      <c r="W59" s="4">
        <v>0.49376848854718342</v>
      </c>
      <c r="X59" s="6">
        <v>46442.030565950066</v>
      </c>
      <c r="Y59" s="6">
        <v>19750.658565790989</v>
      </c>
      <c r="Z59" s="6">
        <v>3137.8554018459349</v>
      </c>
      <c r="AA59" s="6">
        <v>72265.875684867104</v>
      </c>
      <c r="AB59" s="6">
        <v>1152.8723051988461</v>
      </c>
      <c r="AC59" s="3" t="s">
        <v>107</v>
      </c>
      <c r="AD59" s="3" t="s">
        <v>36</v>
      </c>
    </row>
    <row r="60" spans="1:30">
      <c r="A60" s="2">
        <v>45980</v>
      </c>
      <c r="B60" s="3" t="s">
        <v>30</v>
      </c>
      <c r="C60" s="3" t="s">
        <v>56</v>
      </c>
      <c r="D60" s="3" t="s">
        <v>32</v>
      </c>
      <c r="E60" s="3" t="s">
        <v>50</v>
      </c>
      <c r="F60" s="3" t="s">
        <v>51</v>
      </c>
      <c r="G60" s="4">
        <v>131.38649972697041</v>
      </c>
      <c r="H60" s="4">
        <v>107.1991472300311</v>
      </c>
      <c r="I60" s="4">
        <v>114.3437338490821</v>
      </c>
      <c r="J60" s="4">
        <v>7.7622542230691307</v>
      </c>
      <c r="K60" s="4">
        <v>7.3267036758239739</v>
      </c>
      <c r="L60" s="4">
        <v>26.133032834709429</v>
      </c>
      <c r="M60" s="4">
        <v>16.67060079821233</v>
      </c>
      <c r="N60" s="4">
        <v>122.1405521464564</v>
      </c>
      <c r="O60" s="4">
        <v>2017.7917222134599</v>
      </c>
      <c r="P60" s="5">
        <v>6.2483411889285759E-2</v>
      </c>
      <c r="Q60" s="5">
        <v>0.93751658811071426</v>
      </c>
      <c r="R60" s="5">
        <v>2.128295705859385E-2</v>
      </c>
      <c r="S60" s="5">
        <v>1.34556624843676E-2</v>
      </c>
      <c r="T60" s="5">
        <v>0.7391914553919352</v>
      </c>
      <c r="U60" s="5">
        <v>0.56161008621752506</v>
      </c>
      <c r="V60" s="5">
        <v>0.81590686602350926</v>
      </c>
      <c r="W60" s="4">
        <v>0.87767039976608796</v>
      </c>
      <c r="X60" s="6">
        <v>81736.76267378137</v>
      </c>
      <c r="Y60" s="6">
        <v>23141.816180872542</v>
      </c>
      <c r="Z60" s="6">
        <v>4402.8318557062303</v>
      </c>
      <c r="AA60" s="6">
        <v>114084.1698013939</v>
      </c>
      <c r="AB60" s="6">
        <v>1064.2264677403521</v>
      </c>
      <c r="AC60" s="3" t="s">
        <v>108</v>
      </c>
      <c r="AD60" s="3" t="s">
        <v>43</v>
      </c>
    </row>
    <row r="61" spans="1:30">
      <c r="A61" s="2">
        <v>45981</v>
      </c>
      <c r="B61" s="3" t="s">
        <v>30</v>
      </c>
      <c r="C61" s="3" t="s">
        <v>44</v>
      </c>
      <c r="D61" s="3" t="s">
        <v>32</v>
      </c>
      <c r="E61" s="3" t="s">
        <v>33</v>
      </c>
      <c r="F61" s="3" t="s">
        <v>34</v>
      </c>
      <c r="G61" s="4">
        <v>128.80520033473681</v>
      </c>
      <c r="H61" s="4">
        <v>117.66714780784309</v>
      </c>
      <c r="I61" s="4">
        <v>127.4141686058031</v>
      </c>
      <c r="J61" s="4">
        <v>8.115512314574632</v>
      </c>
      <c r="K61" s="4">
        <v>7.9913881638444551</v>
      </c>
      <c r="L61" s="4">
        <v>7.4474490438106393</v>
      </c>
      <c r="M61" s="4">
        <v>15.79006977319748</v>
      </c>
      <c r="N61" s="4">
        <v>126.1845766918084</v>
      </c>
      <c r="O61" s="4">
        <v>2084.428823014282</v>
      </c>
      <c r="P61" s="5">
        <v>7.6498719919568858E-2</v>
      </c>
      <c r="Q61" s="5">
        <v>0.9235012800804312</v>
      </c>
      <c r="R61" s="5">
        <v>3.057616742709068E-2</v>
      </c>
      <c r="S61" s="5">
        <v>2.7789339887373979E-3</v>
      </c>
      <c r="T61" s="5">
        <v>0.85501760456015075</v>
      </c>
      <c r="U61" s="5">
        <v>0.7669986775449652</v>
      </c>
      <c r="V61" s="5">
        <v>0.91352792823621787</v>
      </c>
      <c r="W61" s="4">
        <v>0.93250023808560822</v>
      </c>
      <c r="X61" s="6">
        <v>107922.1240380559</v>
      </c>
      <c r="Y61" s="6">
        <v>21100.586342985331</v>
      </c>
      <c r="Z61" s="6">
        <v>4674.434682918295</v>
      </c>
      <c r="AA61" s="6">
        <v>137476.18566455279</v>
      </c>
      <c r="AB61" s="6">
        <v>1168.3480752763639</v>
      </c>
      <c r="AC61" s="3" t="s">
        <v>109</v>
      </c>
      <c r="AD61" s="3" t="s">
        <v>41</v>
      </c>
    </row>
    <row r="62" spans="1:30">
      <c r="A62" s="2">
        <v>45982</v>
      </c>
      <c r="B62" s="3" t="s">
        <v>30</v>
      </c>
      <c r="C62" s="3" t="s">
        <v>31</v>
      </c>
      <c r="D62" s="3" t="s">
        <v>32</v>
      </c>
      <c r="E62" s="3" t="s">
        <v>50</v>
      </c>
      <c r="F62" s="3" t="s">
        <v>51</v>
      </c>
      <c r="G62" s="4">
        <v>66.369788476459462</v>
      </c>
      <c r="H62" s="4">
        <v>149.3903973515196</v>
      </c>
      <c r="I62" s="4">
        <v>158.2571618310493</v>
      </c>
      <c r="J62" s="4">
        <v>8.0874681508353135</v>
      </c>
      <c r="K62" s="4">
        <v>7.9775088412760562</v>
      </c>
      <c r="L62" s="4">
        <v>6.5975585735554514</v>
      </c>
      <c r="M62" s="4">
        <v>17.27865469860447</v>
      </c>
      <c r="N62" s="4">
        <v>137.8406206234732</v>
      </c>
      <c r="O62" s="4">
        <v>2466.1903012169728</v>
      </c>
      <c r="P62" s="5">
        <v>5.6027571687375252E-2</v>
      </c>
      <c r="Q62" s="5">
        <v>0.94397242831262484</v>
      </c>
      <c r="R62" s="5">
        <v>1.531184425911152E-2</v>
      </c>
      <c r="S62" s="5">
        <v>1.404874600730182E-2</v>
      </c>
      <c r="T62" s="5">
        <v>0.83594089318719011</v>
      </c>
      <c r="U62" s="5">
        <v>0.85364052544683355</v>
      </c>
      <c r="V62" s="5">
        <v>2.2508795158282981</v>
      </c>
      <c r="W62" s="4">
        <v>1.0837908061920001</v>
      </c>
      <c r="X62" s="6">
        <v>119569.4462756935</v>
      </c>
      <c r="Y62" s="6">
        <v>25159.520817725839</v>
      </c>
      <c r="Z62" s="6">
        <v>5715.3401974086137</v>
      </c>
      <c r="AA62" s="6">
        <v>156252.80834732391</v>
      </c>
      <c r="AB62" s="6">
        <v>1045.936091726544</v>
      </c>
      <c r="AC62" s="3" t="s">
        <v>110</v>
      </c>
      <c r="AD62" s="3" t="s">
        <v>43</v>
      </c>
    </row>
    <row r="63" spans="1:30">
      <c r="A63" s="2">
        <v>45983</v>
      </c>
      <c r="B63" s="3" t="s">
        <v>30</v>
      </c>
      <c r="C63" s="3" t="s">
        <v>63</v>
      </c>
      <c r="D63" s="3" t="s">
        <v>45</v>
      </c>
      <c r="E63" s="3" t="s">
        <v>46</v>
      </c>
      <c r="F63" s="3" t="s">
        <v>47</v>
      </c>
      <c r="G63" s="4">
        <v>69.986353628698637</v>
      </c>
      <c r="H63" s="4">
        <v>100.4866255857179</v>
      </c>
      <c r="I63" s="4">
        <v>105.1102151647743</v>
      </c>
      <c r="J63" s="4">
        <v>7.737294295979952</v>
      </c>
      <c r="K63" s="4">
        <v>7.2117694151973</v>
      </c>
      <c r="L63" s="4">
        <v>31.531492846959139</v>
      </c>
      <c r="M63" s="4">
        <v>17.828608423280741</v>
      </c>
      <c r="N63" s="4">
        <v>128.57581294254501</v>
      </c>
      <c r="O63" s="4">
        <v>1971.1862700438139</v>
      </c>
      <c r="P63" s="5">
        <v>4.3988013646517013E-2</v>
      </c>
      <c r="Q63" s="5">
        <v>0.95601198635348283</v>
      </c>
      <c r="R63" s="5">
        <v>1.5247717546975971E-2</v>
      </c>
      <c r="S63" s="5">
        <v>7.3681723601669163E-3</v>
      </c>
      <c r="T63" s="5">
        <v>0.7137825113915881</v>
      </c>
      <c r="U63" s="5">
        <v>0.69341960246361356</v>
      </c>
      <c r="V63" s="5">
        <v>1.435803129833475</v>
      </c>
      <c r="W63" s="4">
        <v>0.78153599254799999</v>
      </c>
      <c r="X63" s="6">
        <v>65254.792748318869</v>
      </c>
      <c r="Y63" s="6">
        <v>21685.60834113531</v>
      </c>
      <c r="Z63" s="6">
        <v>4844.4629427234959</v>
      </c>
      <c r="AA63" s="6">
        <v>97202.83630101083</v>
      </c>
      <c r="AB63" s="6">
        <v>967.32113089113659</v>
      </c>
      <c r="AC63" s="3" t="s">
        <v>111</v>
      </c>
      <c r="AD63" s="3" t="s">
        <v>36</v>
      </c>
    </row>
    <row r="64" spans="1:30">
      <c r="A64" s="2">
        <v>45984</v>
      </c>
      <c r="B64" s="3" t="s">
        <v>30</v>
      </c>
      <c r="C64" s="3" t="s">
        <v>56</v>
      </c>
      <c r="D64" s="3" t="s">
        <v>32</v>
      </c>
      <c r="E64" s="3" t="s">
        <v>33</v>
      </c>
      <c r="F64" s="3" t="s">
        <v>34</v>
      </c>
      <c r="G64" s="4">
        <v>89.66709237179785</v>
      </c>
      <c r="H64" s="4">
        <v>101.6884942830975</v>
      </c>
      <c r="I64" s="4">
        <v>106.493111813746</v>
      </c>
      <c r="J64" s="4">
        <v>7.4309429179840816</v>
      </c>
      <c r="K64" s="4">
        <v>7.298027355453546</v>
      </c>
      <c r="L64" s="4">
        <v>7.9749337518321362</v>
      </c>
      <c r="M64" s="4">
        <v>14.51093507019087</v>
      </c>
      <c r="N64" s="4">
        <v>105.90120109546319</v>
      </c>
      <c r="O64" s="4">
        <v>1868.3189202128581</v>
      </c>
      <c r="P64" s="5">
        <v>4.5116697679486832E-2</v>
      </c>
      <c r="Q64" s="5">
        <v>0.95488330232051333</v>
      </c>
      <c r="R64" s="5">
        <v>1.370327598913878E-2</v>
      </c>
      <c r="S64" s="5">
        <v>1.2174869495771659E-2</v>
      </c>
      <c r="T64" s="5">
        <v>0.83589701556395568</v>
      </c>
      <c r="U64" s="5">
        <v>0.85149814453203787</v>
      </c>
      <c r="V64" s="5">
        <v>1.1340670428060029</v>
      </c>
      <c r="W64" s="4">
        <v>0.96022040572922085</v>
      </c>
      <c r="X64" s="6">
        <v>72295.367986655343</v>
      </c>
      <c r="Y64" s="6">
        <v>19132.78473176821</v>
      </c>
      <c r="Z64" s="6">
        <v>5016.0466305810214</v>
      </c>
      <c r="AA64" s="6">
        <v>102462.1460339021</v>
      </c>
      <c r="AB64" s="6">
        <v>1007.608055918803</v>
      </c>
      <c r="AC64" s="3" t="s">
        <v>112</v>
      </c>
      <c r="AD64" s="3" t="s">
        <v>41</v>
      </c>
    </row>
    <row r="65" spans="1:30">
      <c r="A65" s="2">
        <v>45985</v>
      </c>
      <c r="B65" s="3" t="s">
        <v>30</v>
      </c>
      <c r="C65" s="3" t="s">
        <v>31</v>
      </c>
      <c r="D65" s="3" t="s">
        <v>45</v>
      </c>
      <c r="E65" s="3" t="s">
        <v>33</v>
      </c>
      <c r="F65" s="3" t="s">
        <v>34</v>
      </c>
      <c r="G65" s="4">
        <v>106.860334260822</v>
      </c>
      <c r="H65" s="4">
        <v>92.59603285120896</v>
      </c>
      <c r="I65" s="4">
        <v>96.448042946443721</v>
      </c>
      <c r="J65" s="4">
        <v>7.850560488842695</v>
      </c>
      <c r="K65" s="4">
        <v>7.7545851157103938</v>
      </c>
      <c r="L65" s="4">
        <v>5.7585223879380836</v>
      </c>
      <c r="M65" s="4">
        <v>17.124714502502169</v>
      </c>
      <c r="N65" s="4">
        <v>132.79505619189331</v>
      </c>
      <c r="O65" s="4">
        <v>1776.3198060437751</v>
      </c>
      <c r="P65" s="5">
        <v>3.9938706660680751E-2</v>
      </c>
      <c r="Q65" s="5">
        <v>0.96006129333931922</v>
      </c>
      <c r="R65" s="5">
        <v>1.7685653227892732E-2</v>
      </c>
      <c r="S65" s="5">
        <v>1.1830590048112851E-2</v>
      </c>
      <c r="T65" s="5">
        <v>0.63299774722515045</v>
      </c>
      <c r="U65" s="5">
        <v>0.53538638781946402</v>
      </c>
      <c r="V65" s="5">
        <v>0.86651453499296449</v>
      </c>
      <c r="W65" s="4">
        <v>0.6972852416840325</v>
      </c>
      <c r="X65" s="6">
        <v>82244.030664239923</v>
      </c>
      <c r="Y65" s="6">
        <v>24893.542093579381</v>
      </c>
      <c r="Z65" s="6">
        <v>4857.0069714095262</v>
      </c>
      <c r="AA65" s="6">
        <v>117762.2397794353</v>
      </c>
      <c r="AB65" s="6">
        <v>1271.784936711764</v>
      </c>
      <c r="AC65" s="3" t="s">
        <v>113</v>
      </c>
      <c r="AD65" s="3" t="s">
        <v>49</v>
      </c>
    </row>
    <row r="66" spans="1:30">
      <c r="A66" s="2">
        <v>45986</v>
      </c>
      <c r="B66" s="3" t="s">
        <v>30</v>
      </c>
      <c r="C66" s="3" t="s">
        <v>44</v>
      </c>
      <c r="D66" s="3" t="s">
        <v>32</v>
      </c>
      <c r="E66" s="3" t="s">
        <v>38</v>
      </c>
      <c r="F66" s="3" t="s">
        <v>39</v>
      </c>
      <c r="G66" s="4">
        <v>71.48693128423227</v>
      </c>
      <c r="H66" s="4">
        <v>76.459514069095874</v>
      </c>
      <c r="I66" s="4">
        <v>80.655647634820653</v>
      </c>
      <c r="J66" s="4">
        <v>7.965021401779186</v>
      </c>
      <c r="K66" s="4">
        <v>7.6748531583175117</v>
      </c>
      <c r="L66" s="4">
        <v>17.410094607700451</v>
      </c>
      <c r="M66" s="4">
        <v>19.665942377407639</v>
      </c>
      <c r="N66" s="4">
        <v>150.93321996653719</v>
      </c>
      <c r="O66" s="4">
        <v>1727.9065072531771</v>
      </c>
      <c r="P66" s="5">
        <v>5.202529133140614E-2</v>
      </c>
      <c r="Q66" s="5">
        <v>0.9479747086685939</v>
      </c>
      <c r="R66" s="5">
        <v>2.1883782743355451E-2</v>
      </c>
      <c r="S66" s="5">
        <v>3.1247976653667789E-3</v>
      </c>
      <c r="T66" s="5">
        <v>0.75723485214282471</v>
      </c>
      <c r="U66" s="5">
        <v>0.76373697058570433</v>
      </c>
      <c r="V66" s="5">
        <v>1.0695593263766301</v>
      </c>
      <c r="W66" s="4">
        <v>0.50657843307157557</v>
      </c>
      <c r="X66" s="6">
        <v>51776.869732427789</v>
      </c>
      <c r="Y66" s="6">
        <v>24080.455302712271</v>
      </c>
      <c r="Z66" s="6">
        <v>4016.6194537543711</v>
      </c>
      <c r="AA66" s="6">
        <v>85618.407632583723</v>
      </c>
      <c r="AB66" s="6">
        <v>1119.787493747489</v>
      </c>
      <c r="AC66" s="3" t="s">
        <v>114</v>
      </c>
      <c r="AD66" s="3" t="s">
        <v>41</v>
      </c>
    </row>
    <row r="67" spans="1:30">
      <c r="A67" s="2">
        <v>45987</v>
      </c>
      <c r="B67" s="3" t="s">
        <v>30</v>
      </c>
      <c r="C67" s="3" t="s">
        <v>56</v>
      </c>
      <c r="D67" s="3" t="s">
        <v>37</v>
      </c>
      <c r="E67" s="3" t="s">
        <v>38</v>
      </c>
      <c r="F67" s="3" t="s">
        <v>39</v>
      </c>
      <c r="G67" s="4">
        <v>132.39237223831401</v>
      </c>
      <c r="H67" s="4">
        <v>101.4960115976907</v>
      </c>
      <c r="I67" s="4">
        <v>111.0148337442473</v>
      </c>
      <c r="J67" s="4">
        <v>7.3058581505299802</v>
      </c>
      <c r="K67" s="4">
        <v>7.137207469614256</v>
      </c>
      <c r="L67" s="4">
        <v>10.11904085494346</v>
      </c>
      <c r="M67" s="4">
        <v>15.338965779415039</v>
      </c>
      <c r="N67" s="4">
        <v>109.4773811369985</v>
      </c>
      <c r="O67" s="4">
        <v>1869.4942743544871</v>
      </c>
      <c r="P67" s="5">
        <v>8.5743695914420076E-2</v>
      </c>
      <c r="Q67" s="5">
        <v>0.9142563040855799</v>
      </c>
      <c r="R67" s="5">
        <v>1.0513488318848199E-2</v>
      </c>
      <c r="S67" s="5">
        <v>1E-3</v>
      </c>
      <c r="T67" s="5">
        <v>0.8520153765250148</v>
      </c>
      <c r="U67" s="5">
        <v>0.63746452160153888</v>
      </c>
      <c r="V67" s="5">
        <v>0.76663035703440618</v>
      </c>
      <c r="W67" s="4">
        <v>0.92709572099354454</v>
      </c>
      <c r="X67" s="6">
        <v>72730.550593410822</v>
      </c>
      <c r="Y67" s="6">
        <v>20254.02905090183</v>
      </c>
      <c r="Z67" s="6">
        <v>4445.9256413373978</v>
      </c>
      <c r="AA67" s="6">
        <v>103102.04269144731</v>
      </c>
      <c r="AB67" s="6">
        <v>1015.823588222585</v>
      </c>
      <c r="AC67" s="3" t="s">
        <v>115</v>
      </c>
      <c r="AD67" s="3" t="s">
        <v>36</v>
      </c>
    </row>
    <row r="68" spans="1:30">
      <c r="A68" s="2">
        <v>45988</v>
      </c>
      <c r="B68" s="3" t="s">
        <v>30</v>
      </c>
      <c r="C68" s="3" t="s">
        <v>44</v>
      </c>
      <c r="D68" s="3" t="s">
        <v>37</v>
      </c>
      <c r="E68" s="3" t="s">
        <v>46</v>
      </c>
      <c r="F68" s="3" t="s">
        <v>47</v>
      </c>
      <c r="G68" s="4">
        <v>110.7482948071837</v>
      </c>
      <c r="H68" s="4">
        <v>124.9376082685787</v>
      </c>
      <c r="I68" s="4">
        <v>131.60906595405081</v>
      </c>
      <c r="J68" s="4">
        <v>8.4812740254671706</v>
      </c>
      <c r="K68" s="4">
        <v>8.3378824888517311</v>
      </c>
      <c r="L68" s="4">
        <v>8.6034921969263323</v>
      </c>
      <c r="M68" s="4">
        <v>19.335324149606919</v>
      </c>
      <c r="N68" s="4">
        <v>161.21566064327951</v>
      </c>
      <c r="O68" s="4">
        <v>2147.986634320222</v>
      </c>
      <c r="P68" s="5">
        <v>5.0691475067540639E-2</v>
      </c>
      <c r="Q68" s="5">
        <v>0.94930852493245932</v>
      </c>
      <c r="R68" s="5">
        <v>2.764809748171718E-2</v>
      </c>
      <c r="S68" s="5">
        <v>9.560941246004007E-3</v>
      </c>
      <c r="T68" s="5">
        <v>0.82256604071297423</v>
      </c>
      <c r="U68" s="5">
        <v>0.84097388259423145</v>
      </c>
      <c r="V68" s="5">
        <v>1.1281221845094691</v>
      </c>
      <c r="W68" s="4">
        <v>0.77497190887073375</v>
      </c>
      <c r="X68" s="6">
        <v>90374.526249028888</v>
      </c>
      <c r="Y68" s="6">
        <v>24592.203327311541</v>
      </c>
      <c r="Z68" s="6">
        <v>4482.0433249470661</v>
      </c>
      <c r="AA68" s="6">
        <v>123006.93810698271</v>
      </c>
      <c r="AB68" s="6">
        <v>984.54692555466795</v>
      </c>
      <c r="AC68" s="3" t="s">
        <v>116</v>
      </c>
      <c r="AD68" s="3" t="s">
        <v>36</v>
      </c>
    </row>
    <row r="69" spans="1:30">
      <c r="A69" s="2">
        <v>45989</v>
      </c>
      <c r="B69" s="3" t="s">
        <v>30</v>
      </c>
      <c r="C69" s="3" t="s">
        <v>63</v>
      </c>
      <c r="D69" s="3" t="s">
        <v>45</v>
      </c>
      <c r="E69" s="3" t="s">
        <v>50</v>
      </c>
      <c r="F69" s="3" t="s">
        <v>51</v>
      </c>
      <c r="G69" s="4">
        <v>73.349861486218956</v>
      </c>
      <c r="H69" s="4">
        <v>98.368404448527286</v>
      </c>
      <c r="I69" s="4">
        <v>103.2444279068327</v>
      </c>
      <c r="J69" s="4">
        <v>8.4616484503307792</v>
      </c>
      <c r="K69" s="4">
        <v>8.2032050566423056</v>
      </c>
      <c r="L69" s="4">
        <v>15.506603621308431</v>
      </c>
      <c r="M69" s="4">
        <v>18.056937377733622</v>
      </c>
      <c r="N69" s="4">
        <v>148.12476000449789</v>
      </c>
      <c r="O69" s="4">
        <v>1632.5215279882129</v>
      </c>
      <c r="P69" s="5">
        <v>4.7227957548522499E-2</v>
      </c>
      <c r="Q69" s="5">
        <v>0.95277204245147751</v>
      </c>
      <c r="R69" s="5">
        <v>4.0182700624749781E-2</v>
      </c>
      <c r="S69" s="5">
        <v>1.731986612192642E-2</v>
      </c>
      <c r="T69" s="5">
        <v>0.73742542725011273</v>
      </c>
      <c r="U69" s="5">
        <v>0.73764630894753058</v>
      </c>
      <c r="V69" s="5">
        <v>1.3410850744007039</v>
      </c>
      <c r="W69" s="4">
        <v>0.66409157014357556</v>
      </c>
      <c r="X69" s="6">
        <v>87628.11535053399</v>
      </c>
      <c r="Y69" s="6">
        <v>22121.06481980949</v>
      </c>
      <c r="Z69" s="6">
        <v>4101.5112773595856</v>
      </c>
      <c r="AA69" s="6">
        <v>118249.8371157326</v>
      </c>
      <c r="AB69" s="6">
        <v>1202.111976692765</v>
      </c>
      <c r="AC69" s="3" t="s">
        <v>117</v>
      </c>
      <c r="AD69" s="3" t="s">
        <v>43</v>
      </c>
    </row>
    <row r="70" spans="1:30">
      <c r="A70" s="2">
        <v>45990</v>
      </c>
      <c r="B70" s="3" t="s">
        <v>30</v>
      </c>
      <c r="C70" s="3" t="s">
        <v>31</v>
      </c>
      <c r="D70" s="3" t="s">
        <v>32</v>
      </c>
      <c r="E70" s="3" t="s">
        <v>33</v>
      </c>
      <c r="F70" s="3" t="s">
        <v>34</v>
      </c>
      <c r="G70" s="4">
        <v>108.2326999729312</v>
      </c>
      <c r="H70" s="4">
        <v>127.0246367403967</v>
      </c>
      <c r="I70" s="4">
        <v>131.87522989654411</v>
      </c>
      <c r="J70" s="4">
        <v>7.7848021283309379</v>
      </c>
      <c r="K70" s="4">
        <v>7.6564621511107784</v>
      </c>
      <c r="L70" s="4">
        <v>7.7003986332096073</v>
      </c>
      <c r="M70" s="4">
        <v>17.821284623037851</v>
      </c>
      <c r="N70" s="4">
        <v>136.44799120046179</v>
      </c>
      <c r="O70" s="4">
        <v>2088.883633561542</v>
      </c>
      <c r="P70" s="5">
        <v>3.6781684930162088E-2</v>
      </c>
      <c r="Q70" s="5">
        <v>0.9632183150698379</v>
      </c>
      <c r="R70" s="5">
        <v>2.7446644991801529E-2</v>
      </c>
      <c r="S70" s="5">
        <v>7.153508671894431E-3</v>
      </c>
      <c r="T70" s="5">
        <v>0.81963174774779102</v>
      </c>
      <c r="U70" s="5">
        <v>0.84037038293657218</v>
      </c>
      <c r="V70" s="5">
        <v>1.173625316306119</v>
      </c>
      <c r="W70" s="4">
        <v>0.93093812245120711</v>
      </c>
      <c r="X70" s="6">
        <v>86440.639417945757</v>
      </c>
      <c r="Y70" s="6">
        <v>20387.282737183239</v>
      </c>
      <c r="Z70" s="6">
        <v>4723.2702836662511</v>
      </c>
      <c r="AA70" s="6">
        <v>117196.47028838791</v>
      </c>
      <c r="AB70" s="6">
        <v>922.6278720080511</v>
      </c>
      <c r="AC70" s="3" t="s">
        <v>118</v>
      </c>
      <c r="AD70" s="3" t="s">
        <v>43</v>
      </c>
    </row>
    <row r="71" spans="1:30">
      <c r="A71" s="2">
        <v>45991</v>
      </c>
      <c r="B71" s="3" t="s">
        <v>30</v>
      </c>
      <c r="C71" s="3" t="s">
        <v>63</v>
      </c>
      <c r="D71" s="3" t="s">
        <v>32</v>
      </c>
      <c r="E71" s="3" t="s">
        <v>50</v>
      </c>
      <c r="F71" s="3" t="s">
        <v>51</v>
      </c>
      <c r="G71" s="4">
        <v>103.7406523522085</v>
      </c>
      <c r="H71" s="4">
        <v>97.797603263896718</v>
      </c>
      <c r="I71" s="4">
        <v>101.3669769948912</v>
      </c>
      <c r="J71" s="4">
        <v>7.571797954350763</v>
      </c>
      <c r="K71" s="4">
        <v>7.285159073294774</v>
      </c>
      <c r="L71" s="4">
        <v>17.198332863359362</v>
      </c>
      <c r="M71" s="4">
        <v>19.370532775952132</v>
      </c>
      <c r="N71" s="4">
        <v>141.11741260728149</v>
      </c>
      <c r="O71" s="4">
        <v>1813.602051695729</v>
      </c>
      <c r="P71" s="5">
        <v>3.5212392011793103E-2</v>
      </c>
      <c r="Q71" s="5">
        <v>0.96478760798820695</v>
      </c>
      <c r="R71" s="5">
        <v>1.8417795437427529E-2</v>
      </c>
      <c r="S71" s="5">
        <v>1.289376531367111E-2</v>
      </c>
      <c r="T71" s="5">
        <v>0.7865317753295612</v>
      </c>
      <c r="U71" s="5">
        <v>0.70420552297682293</v>
      </c>
      <c r="V71" s="5">
        <v>0.9427124376648931</v>
      </c>
      <c r="W71" s="4">
        <v>0.69302293357701839</v>
      </c>
      <c r="X71" s="6">
        <v>85743.217740520849</v>
      </c>
      <c r="Y71" s="6">
        <v>24553.196661124479</v>
      </c>
      <c r="Z71" s="6">
        <v>4931.0966931450512</v>
      </c>
      <c r="AA71" s="6">
        <v>121904.0967754061</v>
      </c>
      <c r="AB71" s="6">
        <v>1246.4937044158489</v>
      </c>
      <c r="AC71" s="3" t="s">
        <v>119</v>
      </c>
      <c r="AD71" s="3" t="s">
        <v>36</v>
      </c>
    </row>
    <row r="72" spans="1:30">
      <c r="A72" s="2">
        <v>45992</v>
      </c>
      <c r="B72" s="3" t="s">
        <v>30</v>
      </c>
      <c r="C72" s="3" t="s">
        <v>31</v>
      </c>
      <c r="D72" s="3" t="s">
        <v>32</v>
      </c>
      <c r="E72" s="3" t="s">
        <v>33</v>
      </c>
      <c r="F72" s="3" t="s">
        <v>34</v>
      </c>
      <c r="G72" s="4">
        <v>59.482407879865427</v>
      </c>
      <c r="H72" s="4">
        <v>107.127817260933</v>
      </c>
      <c r="I72" s="4">
        <v>113.0694003440377</v>
      </c>
      <c r="J72" s="4">
        <v>7.7669779761621554</v>
      </c>
      <c r="K72" s="4">
        <v>7.6377484093321781</v>
      </c>
      <c r="L72" s="4">
        <v>7.7537740097986321</v>
      </c>
      <c r="M72" s="4">
        <v>15.883608913739209</v>
      </c>
      <c r="N72" s="4">
        <v>121.3150087153661</v>
      </c>
      <c r="O72" s="4">
        <v>1823.2697950317661</v>
      </c>
      <c r="P72" s="5">
        <v>5.2548108197497431E-2</v>
      </c>
      <c r="Q72" s="5">
        <v>0.94745189180250255</v>
      </c>
      <c r="R72" s="5">
        <v>2.9287899463308991E-2</v>
      </c>
      <c r="S72" s="5">
        <v>1.6542437279793432E-2</v>
      </c>
      <c r="T72" s="5">
        <v>0.86291669602185406</v>
      </c>
      <c r="U72" s="5">
        <v>0.87624806139450029</v>
      </c>
      <c r="V72" s="5">
        <v>1.8010000112519891</v>
      </c>
      <c r="W72" s="4">
        <v>0.88305493603252705</v>
      </c>
      <c r="X72" s="6">
        <v>83082.841136602467</v>
      </c>
      <c r="Y72" s="6">
        <v>22933.152289941299</v>
      </c>
      <c r="Z72" s="6">
        <v>4169.1457609523904</v>
      </c>
      <c r="AA72" s="6">
        <v>116230.106596945</v>
      </c>
      <c r="AB72" s="6">
        <v>1084.9666274245219</v>
      </c>
      <c r="AC72" s="3" t="s">
        <v>120</v>
      </c>
      <c r="AD72" s="3" t="s">
        <v>41</v>
      </c>
    </row>
    <row r="73" spans="1:30">
      <c r="A73" s="2">
        <v>45993</v>
      </c>
      <c r="B73" s="3" t="s">
        <v>30</v>
      </c>
      <c r="C73" s="3" t="s">
        <v>63</v>
      </c>
      <c r="D73" s="3" t="s">
        <v>45</v>
      </c>
      <c r="E73" s="3" t="s">
        <v>33</v>
      </c>
      <c r="F73" s="3" t="s">
        <v>34</v>
      </c>
      <c r="G73" s="4">
        <v>71.283554121408372</v>
      </c>
      <c r="H73" s="4">
        <v>85.558001855173174</v>
      </c>
      <c r="I73" s="4">
        <v>88.722040086635204</v>
      </c>
      <c r="J73" s="4">
        <v>7.490527774847644</v>
      </c>
      <c r="K73" s="4">
        <v>7.3348975666365437</v>
      </c>
      <c r="L73" s="4">
        <v>9.3378124926660266</v>
      </c>
      <c r="M73" s="4">
        <v>11.683014612700109</v>
      </c>
      <c r="N73" s="4">
        <v>85.693715453673221</v>
      </c>
      <c r="O73" s="4">
        <v>1746.3618040614331</v>
      </c>
      <c r="P73" s="5">
        <v>3.5662370121025272E-2</v>
      </c>
      <c r="Q73" s="5">
        <v>0.96433762987897464</v>
      </c>
      <c r="R73" s="5">
        <v>1.8269258784721281E-2</v>
      </c>
      <c r="S73" s="5">
        <v>2.705250985214061E-2</v>
      </c>
      <c r="T73" s="5">
        <v>0.76736849776200922</v>
      </c>
      <c r="U73" s="5">
        <v>0.76765185212642872</v>
      </c>
      <c r="V73" s="5">
        <v>1.2002488219015131</v>
      </c>
      <c r="W73" s="4">
        <v>0.99841629461645398</v>
      </c>
      <c r="X73" s="6">
        <v>60292.274506234528</v>
      </c>
      <c r="Y73" s="6">
        <v>14415.941433223081</v>
      </c>
      <c r="Z73" s="6">
        <v>3662.8442058036262</v>
      </c>
      <c r="AA73" s="6">
        <v>84949.848108597944</v>
      </c>
      <c r="AB73" s="6">
        <v>992.89191269795344</v>
      </c>
      <c r="AC73" s="3" t="s">
        <v>121</v>
      </c>
      <c r="AD73" s="3" t="s">
        <v>41</v>
      </c>
    </row>
    <row r="74" spans="1:30">
      <c r="A74" s="2">
        <v>45994</v>
      </c>
      <c r="B74" s="3" t="s">
        <v>30</v>
      </c>
      <c r="C74" s="3" t="s">
        <v>56</v>
      </c>
      <c r="D74" s="3" t="s">
        <v>37</v>
      </c>
      <c r="E74" s="3" t="s">
        <v>46</v>
      </c>
      <c r="F74" s="3" t="s">
        <v>47</v>
      </c>
      <c r="G74" s="4">
        <v>92.726978756748395</v>
      </c>
      <c r="H74" s="4">
        <v>121.2922331900286</v>
      </c>
      <c r="I74" s="4">
        <v>127.66188212046239</v>
      </c>
      <c r="J74" s="4">
        <v>8.2724983363662208</v>
      </c>
      <c r="K74" s="4">
        <v>8.062825413400029</v>
      </c>
      <c r="L74" s="4">
        <v>12.580375377971549</v>
      </c>
      <c r="M74" s="4">
        <v>14.882692470499419</v>
      </c>
      <c r="N74" s="4">
        <v>119.99655107096</v>
      </c>
      <c r="O74" s="4">
        <v>2078.3705551397011</v>
      </c>
      <c r="P74" s="5">
        <v>4.9894681361687808E-2</v>
      </c>
      <c r="Q74" s="5">
        <v>0.95010531863831216</v>
      </c>
      <c r="R74" s="5">
        <v>1.813038394893093E-2</v>
      </c>
      <c r="S74" s="5">
        <v>8.7756412919348242E-3</v>
      </c>
      <c r="T74" s="5">
        <v>0.78286441730274969</v>
      </c>
      <c r="U74" s="5">
        <v>0.79414240467084396</v>
      </c>
      <c r="V74" s="5">
        <v>1.3080576420829551</v>
      </c>
      <c r="W74" s="4">
        <v>1.010797661328636</v>
      </c>
      <c r="X74" s="6">
        <v>85233.25102389777</v>
      </c>
      <c r="Y74" s="6">
        <v>18745.55048768923</v>
      </c>
      <c r="Z74" s="6">
        <v>5000.3576813431591</v>
      </c>
      <c r="AA74" s="6">
        <v>115070.6716471588</v>
      </c>
      <c r="AB74" s="6">
        <v>948.70601868528149</v>
      </c>
      <c r="AC74" s="3" t="s">
        <v>122</v>
      </c>
      <c r="AD74" s="3" t="s">
        <v>36</v>
      </c>
    </row>
    <row r="75" spans="1:30">
      <c r="A75" s="2">
        <v>45995</v>
      </c>
      <c r="B75" s="3" t="s">
        <v>30</v>
      </c>
      <c r="C75" s="3" t="s">
        <v>63</v>
      </c>
      <c r="D75" s="3" t="s">
        <v>32</v>
      </c>
      <c r="E75" s="3" t="s">
        <v>50</v>
      </c>
      <c r="F75" s="3" t="s">
        <v>51</v>
      </c>
      <c r="G75" s="4">
        <v>132.48564972726149</v>
      </c>
      <c r="H75" s="4">
        <v>108.98779020186269</v>
      </c>
      <c r="I75" s="4">
        <v>113.5644646633671</v>
      </c>
      <c r="J75" s="4">
        <v>7.4366505112260697</v>
      </c>
      <c r="K75" s="4">
        <v>7.370841396483633</v>
      </c>
      <c r="L75" s="4">
        <v>3.9485468845462122</v>
      </c>
      <c r="M75" s="4">
        <v>16.706320521287989</v>
      </c>
      <c r="N75" s="4">
        <v>123.13963888123349</v>
      </c>
      <c r="O75" s="4">
        <v>1959.8402484684029</v>
      </c>
      <c r="P75" s="5">
        <v>4.0300233660862182E-2</v>
      </c>
      <c r="Q75" s="5">
        <v>0.95969976633913778</v>
      </c>
      <c r="R75" s="5">
        <v>2.2784948167786409E-2</v>
      </c>
      <c r="S75" s="5">
        <v>1.0387474509499599E-2</v>
      </c>
      <c r="T75" s="5">
        <v>0.7045705325297108</v>
      </c>
      <c r="U75" s="5">
        <v>0.56851033010242447</v>
      </c>
      <c r="V75" s="5">
        <v>0.82263845500420529</v>
      </c>
      <c r="W75" s="4">
        <v>0.88507479144859202</v>
      </c>
      <c r="X75" s="6">
        <v>71371.627371966024</v>
      </c>
      <c r="Y75" s="6">
        <v>21246.695817041069</v>
      </c>
      <c r="Z75" s="6">
        <v>4996.9554050133138</v>
      </c>
      <c r="AA75" s="6">
        <v>100373.4108170063</v>
      </c>
      <c r="AB75" s="6">
        <v>920.96014270129524</v>
      </c>
      <c r="AC75" s="3" t="s">
        <v>123</v>
      </c>
      <c r="AD75" s="3" t="s">
        <v>49</v>
      </c>
    </row>
    <row r="76" spans="1:30">
      <c r="A76" s="2">
        <v>45996</v>
      </c>
      <c r="B76" s="3" t="s">
        <v>30</v>
      </c>
      <c r="C76" s="3" t="s">
        <v>56</v>
      </c>
      <c r="D76" s="3" t="s">
        <v>37</v>
      </c>
      <c r="E76" s="3" t="s">
        <v>46</v>
      </c>
      <c r="F76" s="3" t="s">
        <v>47</v>
      </c>
      <c r="G76" s="4">
        <v>123.0253843675428</v>
      </c>
      <c r="H76" s="4">
        <v>136.58015982597709</v>
      </c>
      <c r="I76" s="4">
        <v>143.97931884215441</v>
      </c>
      <c r="J76" s="4">
        <v>7.7397366032379784</v>
      </c>
      <c r="K76" s="4">
        <v>7.5855688876657803</v>
      </c>
      <c r="L76" s="4">
        <v>9.2500629343318828</v>
      </c>
      <c r="M76" s="4">
        <v>20.196921835441639</v>
      </c>
      <c r="N76" s="4">
        <v>153.20514190154381</v>
      </c>
      <c r="O76" s="4">
        <v>2113.5887628156102</v>
      </c>
      <c r="P76" s="5">
        <v>5.1390429373325899E-2</v>
      </c>
      <c r="Q76" s="5">
        <v>0.94860957062667395</v>
      </c>
      <c r="R76" s="5">
        <v>3.1672320858048317E-2</v>
      </c>
      <c r="S76" s="5">
        <v>1.6334763706200552E-2</v>
      </c>
      <c r="T76" s="5">
        <v>0.7722085668982267</v>
      </c>
      <c r="U76" s="5">
        <v>0.78168758298861418</v>
      </c>
      <c r="V76" s="5">
        <v>1.110178688147309</v>
      </c>
      <c r="W76" s="4">
        <v>0.89148548234594727</v>
      </c>
      <c r="X76" s="6">
        <v>90730.549246392155</v>
      </c>
      <c r="Y76" s="6">
        <v>28663.905608713299</v>
      </c>
      <c r="Z76" s="6">
        <v>4356.569233561635</v>
      </c>
      <c r="AA76" s="6">
        <v>128528.5483702059</v>
      </c>
      <c r="AB76" s="6">
        <v>941.04845487053115</v>
      </c>
      <c r="AC76" s="3" t="s">
        <v>124</v>
      </c>
      <c r="AD76" s="3" t="s">
        <v>49</v>
      </c>
    </row>
    <row r="77" spans="1:30">
      <c r="A77" s="2">
        <v>45997</v>
      </c>
      <c r="B77" s="3" t="s">
        <v>30</v>
      </c>
      <c r="C77" s="3" t="s">
        <v>63</v>
      </c>
      <c r="D77" s="3" t="s">
        <v>32</v>
      </c>
      <c r="E77" s="3" t="s">
        <v>50</v>
      </c>
      <c r="F77" s="3" t="s">
        <v>51</v>
      </c>
      <c r="G77" s="4">
        <v>78.222686037157558</v>
      </c>
      <c r="H77" s="4">
        <v>136.44535419151461</v>
      </c>
      <c r="I77" s="4">
        <v>138.1025852140836</v>
      </c>
      <c r="J77" s="4">
        <v>7.5918205617835337</v>
      </c>
      <c r="K77" s="4">
        <v>7.5077590474182001</v>
      </c>
      <c r="L77" s="4">
        <v>5.0436908619199903</v>
      </c>
      <c r="M77" s="4">
        <v>17.05248296322522</v>
      </c>
      <c r="N77" s="4">
        <v>128.02593324809891</v>
      </c>
      <c r="O77" s="4">
        <v>2225.588481522529</v>
      </c>
      <c r="P77" s="5">
        <v>1.2E-2</v>
      </c>
      <c r="Q77" s="5">
        <v>0.9880000000000001</v>
      </c>
      <c r="R77" s="5">
        <v>2.495774555604096E-2</v>
      </c>
      <c r="S77" s="5">
        <v>8.263969718521353E-3</v>
      </c>
      <c r="T77" s="5">
        <v>0.90698435623890139</v>
      </c>
      <c r="U77" s="5">
        <v>0.93400581142082362</v>
      </c>
      <c r="V77" s="5">
        <v>1.744319469248345</v>
      </c>
      <c r="W77" s="4">
        <v>1.0657634022249221</v>
      </c>
      <c r="X77" s="6">
        <v>119962.2014363549</v>
      </c>
      <c r="Y77" s="6">
        <v>23815.61177054467</v>
      </c>
      <c r="Z77" s="6">
        <v>5316.026321498829</v>
      </c>
      <c r="AA77" s="6">
        <v>155805.16319794921</v>
      </c>
      <c r="AB77" s="6">
        <v>1141.8869049895329</v>
      </c>
      <c r="AC77" s="3" t="s">
        <v>125</v>
      </c>
      <c r="AD77" s="3" t="s">
        <v>49</v>
      </c>
    </row>
    <row r="78" spans="1:30">
      <c r="A78" s="2">
        <v>45998</v>
      </c>
      <c r="B78" s="3" t="s">
        <v>30</v>
      </c>
      <c r="C78" s="3" t="s">
        <v>31</v>
      </c>
      <c r="D78" s="3" t="s">
        <v>32</v>
      </c>
      <c r="E78" s="3" t="s">
        <v>33</v>
      </c>
      <c r="F78" s="3" t="s">
        <v>34</v>
      </c>
      <c r="G78" s="4">
        <v>97.186006153722417</v>
      </c>
      <c r="H78" s="4">
        <v>90.524868717627044</v>
      </c>
      <c r="I78" s="4">
        <v>96.220926000451612</v>
      </c>
      <c r="J78" s="4">
        <v>7.8389888811264399</v>
      </c>
      <c r="K78" s="4">
        <v>7.7397902045177673</v>
      </c>
      <c r="L78" s="4">
        <v>5.9519205965203694</v>
      </c>
      <c r="M78" s="4">
        <v>15.075107829698069</v>
      </c>
      <c r="N78" s="4">
        <v>116.6781719123462</v>
      </c>
      <c r="O78" s="4">
        <v>1758.4370996924811</v>
      </c>
      <c r="P78" s="5">
        <v>5.919769762762251E-2</v>
      </c>
      <c r="Q78" s="5">
        <v>0.94080230237237761</v>
      </c>
      <c r="R78" s="5">
        <v>1.8212182050254731E-2</v>
      </c>
      <c r="S78" s="5">
        <v>1.8152589263381279E-2</v>
      </c>
      <c r="T78" s="5">
        <v>0.77771516667656582</v>
      </c>
      <c r="U78" s="5">
        <v>0.70225990992274079</v>
      </c>
      <c r="V78" s="5">
        <v>0.93145991177413723</v>
      </c>
      <c r="W78" s="4">
        <v>0.77585093453155329</v>
      </c>
      <c r="X78" s="6">
        <v>83249.79328793443</v>
      </c>
      <c r="Y78" s="6">
        <v>17079.506837872421</v>
      </c>
      <c r="Z78" s="6">
        <v>4498.7496839959585</v>
      </c>
      <c r="AA78" s="6">
        <v>108757.7334113894</v>
      </c>
      <c r="AB78" s="6">
        <v>1201.412771452184</v>
      </c>
      <c r="AC78" s="3" t="s">
        <v>126</v>
      </c>
      <c r="AD78" s="3" t="s">
        <v>43</v>
      </c>
    </row>
    <row r="79" spans="1:30">
      <c r="A79" s="2">
        <v>45999</v>
      </c>
      <c r="B79" s="3" t="s">
        <v>30</v>
      </c>
      <c r="C79" s="3" t="s">
        <v>44</v>
      </c>
      <c r="D79" s="3" t="s">
        <v>32</v>
      </c>
      <c r="E79" s="3" t="s">
        <v>38</v>
      </c>
      <c r="F79" s="3" t="s">
        <v>39</v>
      </c>
      <c r="G79" s="4">
        <v>128.22558856593881</v>
      </c>
      <c r="H79" s="4">
        <v>129.3519970208784</v>
      </c>
      <c r="I79" s="4">
        <v>131.30035797109039</v>
      </c>
      <c r="J79" s="4">
        <v>8.2617678300206094</v>
      </c>
      <c r="K79" s="4">
        <v>8.1314630928170288</v>
      </c>
      <c r="L79" s="4">
        <v>7.8182842322148698</v>
      </c>
      <c r="M79" s="4">
        <v>17.533068144856561</v>
      </c>
      <c r="N79" s="4">
        <v>142.56949652374709</v>
      </c>
      <c r="O79" s="4">
        <v>2243.2102240020781</v>
      </c>
      <c r="P79" s="5">
        <v>1.4838961449297911E-2</v>
      </c>
      <c r="Q79" s="5">
        <v>0.98516103855070214</v>
      </c>
      <c r="R79" s="5">
        <v>5.3726515110654599E-2</v>
      </c>
      <c r="S79" s="5">
        <v>4.1219680886156063E-3</v>
      </c>
      <c r="T79" s="5">
        <v>0.93778800631557946</v>
      </c>
      <c r="U79" s="5">
        <v>0.92726735846969444</v>
      </c>
      <c r="V79" s="5">
        <v>1.008784584009613</v>
      </c>
      <c r="W79" s="4">
        <v>0.90729083131280408</v>
      </c>
      <c r="X79" s="6">
        <v>98161.694219018929</v>
      </c>
      <c r="Y79" s="6">
        <v>22443.218034486348</v>
      </c>
      <c r="Z79" s="6">
        <v>5989.1017931033484</v>
      </c>
      <c r="AA79" s="6">
        <v>131022.76397151629</v>
      </c>
      <c r="AB79" s="6">
        <v>1012.916437234195</v>
      </c>
      <c r="AC79" s="3" t="s">
        <v>127</v>
      </c>
      <c r="AD79" s="3" t="s">
        <v>49</v>
      </c>
    </row>
    <row r="80" spans="1:30">
      <c r="A80" s="2">
        <v>46000</v>
      </c>
      <c r="B80" s="3" t="s">
        <v>30</v>
      </c>
      <c r="C80" s="3" t="s">
        <v>31</v>
      </c>
      <c r="D80" s="3" t="s">
        <v>32</v>
      </c>
      <c r="E80" s="3" t="s">
        <v>38</v>
      </c>
      <c r="F80" s="3" t="s">
        <v>39</v>
      </c>
      <c r="G80" s="4">
        <v>99.503817286899874</v>
      </c>
      <c r="H80" s="4">
        <v>122.8887177086273</v>
      </c>
      <c r="I80" s="4">
        <v>128.14105266166419</v>
      </c>
      <c r="J80" s="4">
        <v>7.2856251072206986</v>
      </c>
      <c r="K80" s="4">
        <v>7.0097053701907237</v>
      </c>
      <c r="L80" s="4">
        <v>16.555184221798559</v>
      </c>
      <c r="M80" s="4">
        <v>16.94681453745315</v>
      </c>
      <c r="N80" s="4">
        <v>118.7921768708116</v>
      </c>
      <c r="O80" s="4">
        <v>2080.680340535439</v>
      </c>
      <c r="P80" s="5">
        <v>4.0988698344041598E-2</v>
      </c>
      <c r="Q80" s="5">
        <v>0.95901130165595849</v>
      </c>
      <c r="R80" s="5">
        <v>1.0871995463632961E-2</v>
      </c>
      <c r="S80" s="5">
        <v>1.148841949840243E-2</v>
      </c>
      <c r="T80" s="5">
        <v>0.98</v>
      </c>
      <c r="U80" s="5">
        <v>0.97865603877517426</v>
      </c>
      <c r="V80" s="5">
        <v>1.2350151085591179</v>
      </c>
      <c r="W80" s="4">
        <v>1.034484937861444</v>
      </c>
      <c r="X80" s="6">
        <v>109751.9759803893</v>
      </c>
      <c r="Y80" s="6">
        <v>20498.230222572729</v>
      </c>
      <c r="Z80" s="6">
        <v>5259.9966528264813</v>
      </c>
      <c r="AA80" s="6">
        <v>140661.24296328699</v>
      </c>
      <c r="AB80" s="6">
        <v>1144.6229205255349</v>
      </c>
      <c r="AC80" s="3" t="s">
        <v>128</v>
      </c>
      <c r="AD80" s="3" t="s">
        <v>36</v>
      </c>
    </row>
    <row r="81" spans="1:30">
      <c r="A81" s="2">
        <v>46001</v>
      </c>
      <c r="B81" s="3" t="s">
        <v>30</v>
      </c>
      <c r="C81" s="3" t="s">
        <v>56</v>
      </c>
      <c r="D81" s="3" t="s">
        <v>32</v>
      </c>
      <c r="E81" s="3" t="s">
        <v>38</v>
      </c>
      <c r="F81" s="3" t="s">
        <v>39</v>
      </c>
      <c r="G81" s="4">
        <v>89.18982044814679</v>
      </c>
      <c r="H81" s="4">
        <v>129.38476325243121</v>
      </c>
      <c r="I81" s="4">
        <v>137.435874392979</v>
      </c>
      <c r="J81" s="4">
        <v>7.6895442656309756</v>
      </c>
      <c r="K81" s="4">
        <v>7.5977984020140878</v>
      </c>
      <c r="L81" s="4">
        <v>5.5047518170133234</v>
      </c>
      <c r="M81" s="4">
        <v>12.43083985549532</v>
      </c>
      <c r="N81" s="4">
        <v>94.447015189775357</v>
      </c>
      <c r="O81" s="4">
        <v>2149.8702020547048</v>
      </c>
      <c r="P81" s="5">
        <v>5.8580855807172719E-2</v>
      </c>
      <c r="Q81" s="5">
        <v>0.94141914419282713</v>
      </c>
      <c r="R81" s="5">
        <v>1.8314006039676829E-2</v>
      </c>
      <c r="S81" s="5">
        <v>1.3909522703976071E-2</v>
      </c>
      <c r="T81" s="5">
        <v>0.85769668026650647</v>
      </c>
      <c r="U81" s="5">
        <v>0.87745925208520226</v>
      </c>
      <c r="V81" s="5">
        <v>1.450667381123981</v>
      </c>
      <c r="W81" s="4">
        <v>1.3699190280651461</v>
      </c>
      <c r="X81" s="6">
        <v>108393.3772988811</v>
      </c>
      <c r="Y81" s="6">
        <v>15507.13410913643</v>
      </c>
      <c r="Z81" s="6">
        <v>4868.9198832301718</v>
      </c>
      <c r="AA81" s="6">
        <v>134623.62350245769</v>
      </c>
      <c r="AB81" s="6">
        <v>1040.4905501879341</v>
      </c>
      <c r="AC81" s="3" t="s">
        <v>129</v>
      </c>
      <c r="AD81" s="3" t="s">
        <v>36</v>
      </c>
    </row>
    <row r="82" spans="1:30">
      <c r="A82" s="2">
        <v>46002</v>
      </c>
      <c r="B82" s="3" t="s">
        <v>30</v>
      </c>
      <c r="C82" s="3" t="s">
        <v>31</v>
      </c>
      <c r="D82" s="3" t="s">
        <v>32</v>
      </c>
      <c r="E82" s="3" t="s">
        <v>46</v>
      </c>
      <c r="F82" s="3" t="s">
        <v>47</v>
      </c>
      <c r="G82" s="4">
        <v>121.013609884535</v>
      </c>
      <c r="H82" s="4">
        <v>155.8749028235014</v>
      </c>
      <c r="I82" s="4">
        <v>162.59678866795369</v>
      </c>
      <c r="J82" s="4">
        <v>8.0402831019941328</v>
      </c>
      <c r="K82" s="4">
        <v>7.8892922839221162</v>
      </c>
      <c r="L82" s="4">
        <v>9.0594490843209989</v>
      </c>
      <c r="M82" s="4">
        <v>15.96611197851778</v>
      </c>
      <c r="N82" s="4">
        <v>125.9613240363568</v>
      </c>
      <c r="O82" s="4">
        <v>2522.8342614274279</v>
      </c>
      <c r="P82" s="5">
        <v>4.1340827820279542E-2</v>
      </c>
      <c r="Q82" s="5">
        <v>0.95865917217972041</v>
      </c>
      <c r="R82" s="5">
        <v>2E-3</v>
      </c>
      <c r="S82" s="5">
        <v>8.4277977837587739E-3</v>
      </c>
      <c r="T82" s="5">
        <v>0.87058139134821577</v>
      </c>
      <c r="U82" s="5">
        <v>0.88938485072016471</v>
      </c>
      <c r="V82" s="5">
        <v>1.2880774565127771</v>
      </c>
      <c r="W82" s="4">
        <v>1.2374822511274211</v>
      </c>
      <c r="X82" s="6">
        <v>108610.6622210942</v>
      </c>
      <c r="Y82" s="6">
        <v>19833.19509781295</v>
      </c>
      <c r="Z82" s="6">
        <v>6765.7796411743193</v>
      </c>
      <c r="AA82" s="6">
        <v>140941.46027165529</v>
      </c>
      <c r="AB82" s="6">
        <v>904.19597843306826</v>
      </c>
      <c r="AC82" s="3" t="s">
        <v>130</v>
      </c>
      <c r="AD82" s="3" t="s">
        <v>36</v>
      </c>
    </row>
    <row r="83" spans="1:30">
      <c r="A83" s="2">
        <v>46003</v>
      </c>
      <c r="B83" s="3" t="s">
        <v>30</v>
      </c>
      <c r="C83" s="3" t="s">
        <v>44</v>
      </c>
      <c r="D83" s="3" t="s">
        <v>45</v>
      </c>
      <c r="E83" s="3" t="s">
        <v>33</v>
      </c>
      <c r="F83" s="3" t="s">
        <v>34</v>
      </c>
      <c r="G83" s="4">
        <v>69.058203228438401</v>
      </c>
      <c r="H83" s="4">
        <v>83.50421986985306</v>
      </c>
      <c r="I83" s="4">
        <v>87.608368025372997</v>
      </c>
      <c r="J83" s="4">
        <v>7.5460305956956253</v>
      </c>
      <c r="K83" s="4">
        <v>7.0731316162549254</v>
      </c>
      <c r="L83" s="4">
        <v>28.37393876644197</v>
      </c>
      <c r="M83" s="4">
        <v>13.39801304276622</v>
      </c>
      <c r="N83" s="4">
        <v>94.765909647785605</v>
      </c>
      <c r="O83" s="4">
        <v>1682.1305288604431</v>
      </c>
      <c r="P83" s="5">
        <v>4.6846531307732017E-2</v>
      </c>
      <c r="Q83" s="5">
        <v>0.95315346869226802</v>
      </c>
      <c r="R83" s="5">
        <v>2.602678353168297E-2</v>
      </c>
      <c r="S83" s="5">
        <v>1.098377042872307E-2</v>
      </c>
      <c r="T83" s="5">
        <v>0.55000000000000004</v>
      </c>
      <c r="U83" s="5">
        <v>0.53536328564225366</v>
      </c>
      <c r="V83" s="5">
        <v>1.209186106299762</v>
      </c>
      <c r="W83" s="4">
        <v>0.88116306992895843</v>
      </c>
      <c r="X83" s="6">
        <v>62267.14303124907</v>
      </c>
      <c r="Y83" s="6">
        <v>16713.877742283119</v>
      </c>
      <c r="Z83" s="6">
        <v>3656.6813965675428</v>
      </c>
      <c r="AA83" s="6">
        <v>87748.924111844608</v>
      </c>
      <c r="AB83" s="6">
        <v>1050.8322124152189</v>
      </c>
      <c r="AC83" s="3" t="s">
        <v>131</v>
      </c>
      <c r="AD83" s="3" t="s">
        <v>36</v>
      </c>
    </row>
    <row r="84" spans="1:30">
      <c r="A84" s="2">
        <v>46004</v>
      </c>
      <c r="B84" s="3" t="s">
        <v>30</v>
      </c>
      <c r="C84" s="3" t="s">
        <v>63</v>
      </c>
      <c r="D84" s="3" t="s">
        <v>37</v>
      </c>
      <c r="E84" s="3" t="s">
        <v>38</v>
      </c>
      <c r="F84" s="3" t="s">
        <v>39</v>
      </c>
      <c r="G84" s="4">
        <v>89.618354089123315</v>
      </c>
      <c r="H84" s="4">
        <v>110.34848705207899</v>
      </c>
      <c r="I84" s="4">
        <v>116.0268982440289</v>
      </c>
      <c r="J84" s="4">
        <v>8.4923603296978918</v>
      </c>
      <c r="K84" s="4">
        <v>8.0058517715329067</v>
      </c>
      <c r="L84" s="4">
        <v>29.190513489899111</v>
      </c>
      <c r="M84" s="4">
        <v>12.512531793069661</v>
      </c>
      <c r="N84" s="4">
        <v>100.1734748219086</v>
      </c>
      <c r="O84" s="4">
        <v>2289.5104772079062</v>
      </c>
      <c r="P84" s="5">
        <v>4.8940472234352148E-2</v>
      </c>
      <c r="Q84" s="5">
        <v>0.95105952776564795</v>
      </c>
      <c r="R84" s="5">
        <v>2.3277092394756688E-2</v>
      </c>
      <c r="S84" s="5">
        <v>1.6708441466700929E-2</v>
      </c>
      <c r="T84" s="5">
        <v>0.72830546542830121</v>
      </c>
      <c r="U84" s="5">
        <v>0.70886626845023371</v>
      </c>
      <c r="V84" s="5">
        <v>1.2313157072974139</v>
      </c>
      <c r="W84" s="4">
        <v>1.1015739171298571</v>
      </c>
      <c r="X84" s="6">
        <v>81552.916903571051</v>
      </c>
      <c r="Y84" s="6">
        <v>14617.559447138839</v>
      </c>
      <c r="Z84" s="6">
        <v>6008.4263699234489</v>
      </c>
      <c r="AA84" s="6">
        <v>108351.3205217058</v>
      </c>
      <c r="AB84" s="6">
        <v>981.90127854285311</v>
      </c>
      <c r="AC84" s="3" t="s">
        <v>132</v>
      </c>
      <c r="AD84" s="3" t="s">
        <v>36</v>
      </c>
    </row>
    <row r="85" spans="1:30">
      <c r="A85" s="2">
        <v>46005</v>
      </c>
      <c r="B85" s="3" t="s">
        <v>30</v>
      </c>
      <c r="C85" s="3" t="s">
        <v>31</v>
      </c>
      <c r="D85" s="3" t="s">
        <v>45</v>
      </c>
      <c r="E85" s="3" t="s">
        <v>46</v>
      </c>
      <c r="F85" s="3" t="s">
        <v>47</v>
      </c>
      <c r="G85" s="4">
        <v>57.867280777475393</v>
      </c>
      <c r="H85" s="4">
        <v>100.88412647003059</v>
      </c>
      <c r="I85" s="4">
        <v>105.2209866452978</v>
      </c>
      <c r="J85" s="4">
        <v>7.4895930327877362</v>
      </c>
      <c r="K85" s="4">
        <v>7.2250497444586683</v>
      </c>
      <c r="L85" s="4">
        <v>15.8725972997441</v>
      </c>
      <c r="M85" s="4">
        <v>18.688664144111971</v>
      </c>
      <c r="N85" s="4">
        <v>135.02652809869011</v>
      </c>
      <c r="O85" s="4">
        <v>2052.132985576297</v>
      </c>
      <c r="P85" s="5">
        <v>4.121668417619772E-2</v>
      </c>
      <c r="Q85" s="5">
        <v>0.95878331582380227</v>
      </c>
      <c r="R85" s="5">
        <v>2.3978461652731761E-2</v>
      </c>
      <c r="S85" s="5">
        <v>9.3583391169856974E-3</v>
      </c>
      <c r="T85" s="5">
        <v>0.73101407210229474</v>
      </c>
      <c r="U85" s="5">
        <v>0.73352386176014672</v>
      </c>
      <c r="V85" s="5">
        <v>1.7433707807694221</v>
      </c>
      <c r="W85" s="4">
        <v>0.74714300878931772</v>
      </c>
      <c r="X85" s="6">
        <v>69404.06892495841</v>
      </c>
      <c r="Y85" s="6">
        <v>24091.09401057737</v>
      </c>
      <c r="Z85" s="6">
        <v>4281.0877406264099</v>
      </c>
      <c r="AA85" s="6">
        <v>103814.3277261512</v>
      </c>
      <c r="AB85" s="6">
        <v>1029.0452161172359</v>
      </c>
      <c r="AC85" s="3" t="s">
        <v>133</v>
      </c>
      <c r="AD85" s="3" t="s">
        <v>36</v>
      </c>
    </row>
    <row r="86" spans="1:30">
      <c r="A86" s="2">
        <v>46006</v>
      </c>
      <c r="B86" s="3" t="s">
        <v>30</v>
      </c>
      <c r="C86" s="3" t="s">
        <v>63</v>
      </c>
      <c r="D86" s="3" t="s">
        <v>37</v>
      </c>
      <c r="E86" s="3" t="s">
        <v>46</v>
      </c>
      <c r="F86" s="3" t="s">
        <v>47</v>
      </c>
      <c r="G86" s="4">
        <v>113.6331406025075</v>
      </c>
      <c r="H86" s="4">
        <v>119.94915944170801</v>
      </c>
      <c r="I86" s="4">
        <v>127.1611339927338</v>
      </c>
      <c r="J86" s="4">
        <v>7.5600682719374639</v>
      </c>
      <c r="K86" s="4">
        <v>7.3646197537602411</v>
      </c>
      <c r="L86" s="4">
        <v>11.72691109063334</v>
      </c>
      <c r="M86" s="4">
        <v>18.399565951852161</v>
      </c>
      <c r="N86" s="4">
        <v>135.50580686962479</v>
      </c>
      <c r="O86" s="4">
        <v>2211.42724417723</v>
      </c>
      <c r="P86" s="5">
        <v>5.6715242500416173E-2</v>
      </c>
      <c r="Q86" s="5">
        <v>0.94328475749958385</v>
      </c>
      <c r="R86" s="5">
        <v>1.855368221838441E-2</v>
      </c>
      <c r="S86" s="5">
        <v>3.5133931354941871E-3</v>
      </c>
      <c r="T86" s="5">
        <v>0.89188967986083834</v>
      </c>
      <c r="U86" s="5">
        <v>0.90906830207691414</v>
      </c>
      <c r="V86" s="5">
        <v>1.0555825422558209</v>
      </c>
      <c r="W86" s="4">
        <v>0.88519571384210538</v>
      </c>
      <c r="X86" s="6">
        <v>92046.72458600167</v>
      </c>
      <c r="Y86" s="6">
        <v>20706.671576445351</v>
      </c>
      <c r="Z86" s="6">
        <v>5674.9158490174577</v>
      </c>
      <c r="AA86" s="6">
        <v>125321.1888720819</v>
      </c>
      <c r="AB86" s="6">
        <v>1044.785886415357</v>
      </c>
      <c r="AC86" s="3" t="s">
        <v>134</v>
      </c>
      <c r="AD86" s="3" t="s">
        <v>49</v>
      </c>
    </row>
    <row r="87" spans="1:30">
      <c r="A87" s="2">
        <v>46007</v>
      </c>
      <c r="B87" s="3" t="s">
        <v>30</v>
      </c>
      <c r="C87" s="3" t="s">
        <v>31</v>
      </c>
      <c r="D87" s="3" t="s">
        <v>37</v>
      </c>
      <c r="E87" s="3" t="s">
        <v>46</v>
      </c>
      <c r="F87" s="3" t="s">
        <v>47</v>
      </c>
      <c r="G87" s="4">
        <v>147.11697690063539</v>
      </c>
      <c r="H87" s="4">
        <v>146.70432356921799</v>
      </c>
      <c r="I87" s="4">
        <v>149.88537757380209</v>
      </c>
      <c r="J87" s="4">
        <v>8.4055531923272717</v>
      </c>
      <c r="K87" s="4">
        <v>7.9827652132909366</v>
      </c>
      <c r="L87" s="4">
        <v>25.367278742180108</v>
      </c>
      <c r="M87" s="4">
        <v>18.02669675397712</v>
      </c>
      <c r="N87" s="4">
        <v>143.9028877581932</v>
      </c>
      <c r="O87" s="4">
        <v>2451.4896456008992</v>
      </c>
      <c r="P87" s="5">
        <v>2.122324442901561E-2</v>
      </c>
      <c r="Q87" s="5">
        <v>0.97877675557098442</v>
      </c>
      <c r="R87" s="5">
        <v>3.2282804981588059E-2</v>
      </c>
      <c r="S87" s="5">
        <v>1.841709550234092E-2</v>
      </c>
      <c r="T87" s="5">
        <v>0.81803089098939519</v>
      </c>
      <c r="U87" s="5">
        <v>0.76043809746218904</v>
      </c>
      <c r="V87" s="5">
        <v>0.99719506653745282</v>
      </c>
      <c r="W87" s="4">
        <v>1.019467544082453</v>
      </c>
      <c r="X87" s="6">
        <v>120108.06257240129</v>
      </c>
      <c r="Y87" s="6">
        <v>22855.793245314351</v>
      </c>
      <c r="Z87" s="6">
        <v>6781.9600368385854</v>
      </c>
      <c r="AA87" s="6">
        <v>153491.01419102671</v>
      </c>
      <c r="AB87" s="6">
        <v>1046.261013013748</v>
      </c>
      <c r="AC87" s="3" t="s">
        <v>135</v>
      </c>
      <c r="AD87" s="3" t="s">
        <v>43</v>
      </c>
    </row>
    <row r="88" spans="1:30">
      <c r="A88" s="2">
        <v>46008</v>
      </c>
      <c r="B88" s="3" t="s">
        <v>30</v>
      </c>
      <c r="C88" s="3" t="s">
        <v>44</v>
      </c>
      <c r="D88" s="3" t="s">
        <v>32</v>
      </c>
      <c r="E88" s="3" t="s">
        <v>50</v>
      </c>
      <c r="F88" s="3" t="s">
        <v>51</v>
      </c>
      <c r="G88" s="4">
        <v>115.1515917487711</v>
      </c>
      <c r="H88" s="4">
        <v>89.19661683550224</v>
      </c>
      <c r="I88" s="4">
        <v>92.382463761347864</v>
      </c>
      <c r="J88" s="4">
        <v>7.8642302455329496</v>
      </c>
      <c r="K88" s="4">
        <v>7.6769296444576787</v>
      </c>
      <c r="L88" s="4">
        <v>11.23803606451624</v>
      </c>
      <c r="M88" s="4">
        <v>11.44947938003792</v>
      </c>
      <c r="N88" s="4">
        <v>87.89684766622004</v>
      </c>
      <c r="O88" s="4">
        <v>1809.1014719219711</v>
      </c>
      <c r="P88" s="5">
        <v>3.4485407685982787E-2</v>
      </c>
      <c r="Q88" s="5">
        <v>0.96551459231401704</v>
      </c>
      <c r="R88" s="5">
        <v>1.8164890348305141E-2</v>
      </c>
      <c r="S88" s="5">
        <v>1.241056683907007E-2</v>
      </c>
      <c r="T88" s="5">
        <v>0.83299779557740417</v>
      </c>
      <c r="U88" s="5">
        <v>0.62205683104212672</v>
      </c>
      <c r="V88" s="5">
        <v>0.77460168357988968</v>
      </c>
      <c r="W88" s="4">
        <v>1.0147874378182249</v>
      </c>
      <c r="X88" s="6">
        <v>60365.295449724988</v>
      </c>
      <c r="Y88" s="6">
        <v>14170.07150937563</v>
      </c>
      <c r="Z88" s="6">
        <v>4167.0312899891142</v>
      </c>
      <c r="AA88" s="6">
        <v>83979.105403972266</v>
      </c>
      <c r="AB88" s="6">
        <v>941.50550080669325</v>
      </c>
      <c r="AC88" s="3" t="s">
        <v>136</v>
      </c>
      <c r="AD88" s="3" t="s">
        <v>43</v>
      </c>
    </row>
    <row r="89" spans="1:30">
      <c r="A89" s="2">
        <v>46009</v>
      </c>
      <c r="B89" s="3" t="s">
        <v>30</v>
      </c>
      <c r="C89" s="3" t="s">
        <v>63</v>
      </c>
      <c r="D89" s="3" t="s">
        <v>45</v>
      </c>
      <c r="E89" s="3" t="s">
        <v>33</v>
      </c>
      <c r="F89" s="3" t="s">
        <v>34</v>
      </c>
      <c r="G89" s="4">
        <v>140.93559196294569</v>
      </c>
      <c r="H89" s="4">
        <v>127.18270560208521</v>
      </c>
      <c r="I89" s="4">
        <v>132.6889636317978</v>
      </c>
      <c r="J89" s="4">
        <v>7.2482581803028756</v>
      </c>
      <c r="K89" s="4">
        <v>7.2190785191372164</v>
      </c>
      <c r="L89" s="4">
        <v>1.750779669939599</v>
      </c>
      <c r="M89" s="4">
        <v>20.49995185203877</v>
      </c>
      <c r="N89" s="4">
        <v>147.99076205840029</v>
      </c>
      <c r="O89" s="4">
        <v>2133.21242690396</v>
      </c>
      <c r="P89" s="5">
        <v>4.1497483128981577E-2</v>
      </c>
      <c r="Q89" s="5">
        <v>0.9585025168710184</v>
      </c>
      <c r="R89" s="5">
        <v>2.7940660916666419E-2</v>
      </c>
      <c r="S89" s="5">
        <v>1.8729493086706159E-2</v>
      </c>
      <c r="T89" s="5">
        <v>0.88436457087645937</v>
      </c>
      <c r="U89" s="5">
        <v>0.77996581483202454</v>
      </c>
      <c r="V89" s="5">
        <v>0.90241722357489096</v>
      </c>
      <c r="W89" s="4">
        <v>0.85939624766508194</v>
      </c>
      <c r="X89" s="6">
        <v>83689.120475888092</v>
      </c>
      <c r="Y89" s="6">
        <v>28494.788227934361</v>
      </c>
      <c r="Z89" s="6">
        <v>4529.2927723985295</v>
      </c>
      <c r="AA89" s="6">
        <v>122890.1197873526</v>
      </c>
      <c r="AB89" s="6">
        <v>966.24866726642244</v>
      </c>
      <c r="AC89" s="3" t="s">
        <v>137</v>
      </c>
      <c r="AD89" s="3" t="s">
        <v>36</v>
      </c>
    </row>
    <row r="90" spans="1:30">
      <c r="A90" s="2">
        <v>46010</v>
      </c>
      <c r="B90" s="3" t="s">
        <v>30</v>
      </c>
      <c r="C90" s="3" t="s">
        <v>31</v>
      </c>
      <c r="D90" s="3" t="s">
        <v>37</v>
      </c>
      <c r="E90" s="3" t="s">
        <v>38</v>
      </c>
      <c r="F90" s="3" t="s">
        <v>39</v>
      </c>
      <c r="G90" s="4">
        <v>71.25776196819541</v>
      </c>
      <c r="H90" s="4">
        <v>122.52857566393899</v>
      </c>
      <c r="I90" s="4">
        <v>133.16890623042539</v>
      </c>
      <c r="J90" s="4">
        <v>7.5757630032016179</v>
      </c>
      <c r="K90" s="4">
        <v>6.8904433420427527</v>
      </c>
      <c r="L90" s="4">
        <v>41.119179669531931</v>
      </c>
      <c r="M90" s="4">
        <v>17.319891079854791</v>
      </c>
      <c r="N90" s="4">
        <v>119.3417281760911</v>
      </c>
      <c r="O90" s="4">
        <v>2315.084082137736</v>
      </c>
      <c r="P90" s="5">
        <v>7.990101343984346E-2</v>
      </c>
      <c r="Q90" s="5">
        <v>0.92009898656015654</v>
      </c>
      <c r="R90" s="5">
        <v>2.3647318264918941E-2</v>
      </c>
      <c r="S90" s="5">
        <v>1.3281035849558011E-2</v>
      </c>
      <c r="T90" s="5">
        <v>0.73704992402355751</v>
      </c>
      <c r="U90" s="5">
        <v>0.69454512293509474</v>
      </c>
      <c r="V90" s="5">
        <v>1.7195119840927271</v>
      </c>
      <c r="W90" s="4">
        <v>1.0267035473388291</v>
      </c>
      <c r="X90" s="6">
        <v>117134.0757934001</v>
      </c>
      <c r="Y90" s="6">
        <v>18745.069370467831</v>
      </c>
      <c r="Z90" s="6">
        <v>5894.6906209461567</v>
      </c>
      <c r="AA90" s="6">
        <v>146012.50007157121</v>
      </c>
      <c r="AB90" s="6">
        <v>1191.6607965152709</v>
      </c>
      <c r="AC90" s="3" t="s">
        <v>138</v>
      </c>
      <c r="AD90" s="3" t="s">
        <v>49</v>
      </c>
    </row>
    <row r="91" spans="1:30">
      <c r="A91" s="2">
        <v>46011</v>
      </c>
      <c r="B91" s="3" t="s">
        <v>30</v>
      </c>
      <c r="C91" s="3" t="s">
        <v>63</v>
      </c>
      <c r="D91" s="3" t="s">
        <v>37</v>
      </c>
      <c r="E91" s="3" t="s">
        <v>46</v>
      </c>
      <c r="F91" s="3" t="s">
        <v>47</v>
      </c>
      <c r="G91" s="4">
        <v>139.53591994369</v>
      </c>
      <c r="H91" s="4">
        <v>121.5791810970717</v>
      </c>
      <c r="I91" s="4">
        <v>130.30019749057499</v>
      </c>
      <c r="J91" s="4">
        <v>7.7882708192432712</v>
      </c>
      <c r="K91" s="4">
        <v>7.5585381165659484</v>
      </c>
      <c r="L91" s="4">
        <v>13.78396216063943</v>
      </c>
      <c r="M91" s="4">
        <v>19.014811212908761</v>
      </c>
      <c r="N91" s="4">
        <v>143.72417533207641</v>
      </c>
      <c r="O91" s="4">
        <v>1912.146822718561</v>
      </c>
      <c r="P91" s="5">
        <v>6.6930185536627038E-2</v>
      </c>
      <c r="Q91" s="5">
        <v>0.933069814463373</v>
      </c>
      <c r="R91" s="5">
        <v>3.3176010215511163E-2</v>
      </c>
      <c r="S91" s="5">
        <v>1.577042840389346E-2</v>
      </c>
      <c r="T91" s="5">
        <v>0.88446962449000499</v>
      </c>
      <c r="U91" s="5">
        <v>0.73612113752327979</v>
      </c>
      <c r="V91" s="5">
        <v>0.87131099394432066</v>
      </c>
      <c r="W91" s="4">
        <v>0.84592018577362904</v>
      </c>
      <c r="X91" s="6">
        <v>107997.13994889311</v>
      </c>
      <c r="Y91" s="6">
        <v>27432.797382120589</v>
      </c>
      <c r="Z91" s="6">
        <v>5165.9921212045847</v>
      </c>
      <c r="AA91" s="6">
        <v>145475.37706972941</v>
      </c>
      <c r="AB91" s="6">
        <v>1196.5484201902821</v>
      </c>
      <c r="AC91" s="3" t="s">
        <v>139</v>
      </c>
      <c r="AD91" s="3" t="s">
        <v>43</v>
      </c>
    </row>
    <row r="92" spans="1:30">
      <c r="A92" s="2">
        <v>46012</v>
      </c>
      <c r="B92" s="3" t="s">
        <v>30</v>
      </c>
      <c r="C92" s="3" t="s">
        <v>63</v>
      </c>
      <c r="D92" s="3" t="s">
        <v>45</v>
      </c>
      <c r="E92" s="3" t="s">
        <v>38</v>
      </c>
      <c r="F92" s="3" t="s">
        <v>39</v>
      </c>
      <c r="G92" s="4">
        <v>113.04889208342421</v>
      </c>
      <c r="H92" s="4">
        <v>106.1064146441267</v>
      </c>
      <c r="I92" s="4">
        <v>111.65864697039279</v>
      </c>
      <c r="J92" s="4">
        <v>7.2306814156355621</v>
      </c>
      <c r="K92" s="4">
        <v>7.0327208433461976</v>
      </c>
      <c r="L92" s="4">
        <v>11.87763433736186</v>
      </c>
      <c r="M92" s="4">
        <v>17.443499583237969</v>
      </c>
      <c r="N92" s="4">
        <v>122.67526309993831</v>
      </c>
      <c r="O92" s="4">
        <v>2011.1708226574319</v>
      </c>
      <c r="P92" s="5">
        <v>4.9725054681509173E-2</v>
      </c>
      <c r="Q92" s="5">
        <v>0.95027494531849088</v>
      </c>
      <c r="R92" s="5">
        <v>1.8938754420859572E-2</v>
      </c>
      <c r="S92" s="5">
        <v>8.0644517201970047E-3</v>
      </c>
      <c r="T92" s="5">
        <v>0.77497141052363117</v>
      </c>
      <c r="U92" s="5">
        <v>0.70176001148855605</v>
      </c>
      <c r="V92" s="5">
        <v>0.93858871757739737</v>
      </c>
      <c r="W92" s="4">
        <v>0.86493733098975534</v>
      </c>
      <c r="X92" s="6">
        <v>89963.133351589946</v>
      </c>
      <c r="Y92" s="6">
        <v>18676.227393827259</v>
      </c>
      <c r="Z92" s="6">
        <v>4393.460120762099</v>
      </c>
      <c r="AA92" s="6">
        <v>116158.3236761447</v>
      </c>
      <c r="AB92" s="6">
        <v>1094.7342256896659</v>
      </c>
      <c r="AC92" s="3" t="s">
        <v>140</v>
      </c>
      <c r="AD92" s="3" t="s">
        <v>36</v>
      </c>
    </row>
    <row r="93" spans="1:30">
      <c r="A93" s="2">
        <v>46013</v>
      </c>
      <c r="B93" s="3" t="s">
        <v>30</v>
      </c>
      <c r="C93" s="3" t="s">
        <v>63</v>
      </c>
      <c r="D93" s="3" t="s">
        <v>32</v>
      </c>
      <c r="E93" s="3" t="s">
        <v>38</v>
      </c>
      <c r="F93" s="3" t="s">
        <v>39</v>
      </c>
      <c r="G93" s="4">
        <v>77.675218070589438</v>
      </c>
      <c r="H93" s="4">
        <v>161.65533709459891</v>
      </c>
      <c r="I93" s="4">
        <v>168.52967607353389</v>
      </c>
      <c r="J93" s="4">
        <v>8.1915469075215839</v>
      </c>
      <c r="K93" s="4">
        <v>8.0539548944571866</v>
      </c>
      <c r="L93" s="4">
        <v>8.2555207838638367</v>
      </c>
      <c r="M93" s="4">
        <v>16.60318468728169</v>
      </c>
      <c r="N93" s="4">
        <v>133.72130057570899</v>
      </c>
      <c r="O93" s="4">
        <v>2643.1258179781389</v>
      </c>
      <c r="P93" s="5">
        <v>4.0790080056496841E-2</v>
      </c>
      <c r="Q93" s="5">
        <v>0.95920991994350313</v>
      </c>
      <c r="R93" s="5">
        <v>2.3110637824375911E-2</v>
      </c>
      <c r="S93" s="5">
        <v>1.823019980492549E-2</v>
      </c>
      <c r="T93" s="5">
        <v>0.89387690403960218</v>
      </c>
      <c r="U93" s="5">
        <v>0.9059828038515515</v>
      </c>
      <c r="V93" s="5">
        <v>2.08117004509328</v>
      </c>
      <c r="W93" s="4">
        <v>1.2088974336820379</v>
      </c>
      <c r="X93" s="6">
        <v>147109.52742121881</v>
      </c>
      <c r="Y93" s="6">
        <v>22179.609845025781</v>
      </c>
      <c r="Z93" s="6">
        <v>6317.8958143723257</v>
      </c>
      <c r="AA93" s="6">
        <v>179121.45809687951</v>
      </c>
      <c r="AB93" s="6">
        <v>1108.0454336751011</v>
      </c>
      <c r="AC93" s="3" t="s">
        <v>141</v>
      </c>
      <c r="AD93" s="3" t="s">
        <v>41</v>
      </c>
    </row>
    <row r="94" spans="1:30">
      <c r="A94" s="2">
        <v>46014</v>
      </c>
      <c r="B94" s="3" t="s">
        <v>30</v>
      </c>
      <c r="C94" s="3" t="s">
        <v>56</v>
      </c>
      <c r="D94" s="3" t="s">
        <v>45</v>
      </c>
      <c r="E94" s="3" t="s">
        <v>50</v>
      </c>
      <c r="F94" s="3" t="s">
        <v>51</v>
      </c>
      <c r="G94" s="4">
        <v>100.88737972532741</v>
      </c>
      <c r="H94" s="4">
        <v>122.35392980911951</v>
      </c>
      <c r="I94" s="4">
        <v>132.3884764604193</v>
      </c>
      <c r="J94" s="4">
        <v>8.1079895226259548</v>
      </c>
      <c r="K94" s="4">
        <v>7.849697859350715</v>
      </c>
      <c r="L94" s="4">
        <v>15.497499796514379</v>
      </c>
      <c r="M94" s="4">
        <v>16.28222842213551</v>
      </c>
      <c r="N94" s="4">
        <v>127.81057359069651</v>
      </c>
      <c r="O94" s="4">
        <v>2066.7650405095201</v>
      </c>
      <c r="P94" s="5">
        <v>7.5796224260499825E-2</v>
      </c>
      <c r="Q94" s="5">
        <v>0.9242037757395003</v>
      </c>
      <c r="R94" s="5">
        <v>1.205228358699977E-2</v>
      </c>
      <c r="S94" s="5">
        <v>1.289241416303577E-2</v>
      </c>
      <c r="T94" s="5">
        <v>0.93652568966671346</v>
      </c>
      <c r="U94" s="5">
        <v>0.93975197124659327</v>
      </c>
      <c r="V94" s="5">
        <v>1.2127773577055549</v>
      </c>
      <c r="W94" s="4">
        <v>0.9573067890372553</v>
      </c>
      <c r="X94" s="6">
        <v>105429.0844721653</v>
      </c>
      <c r="Y94" s="6">
        <v>24648.7075617224</v>
      </c>
      <c r="Z94" s="6">
        <v>4251.3194458034523</v>
      </c>
      <c r="AA94" s="6">
        <v>138780.98132463839</v>
      </c>
      <c r="AB94" s="6">
        <v>1134.258470824323</v>
      </c>
      <c r="AC94" s="3" t="s">
        <v>142</v>
      </c>
      <c r="AD94" s="3" t="s">
        <v>41</v>
      </c>
    </row>
    <row r="95" spans="1:30">
      <c r="A95" s="2">
        <v>46015</v>
      </c>
      <c r="B95" s="3" t="s">
        <v>30</v>
      </c>
      <c r="C95" s="3" t="s">
        <v>63</v>
      </c>
      <c r="D95" s="3" t="s">
        <v>37</v>
      </c>
      <c r="E95" s="3" t="s">
        <v>38</v>
      </c>
      <c r="F95" s="3" t="s">
        <v>39</v>
      </c>
      <c r="G95" s="4">
        <v>143.8419041764709</v>
      </c>
      <c r="H95" s="4">
        <v>80.402214646404531</v>
      </c>
      <c r="I95" s="4">
        <v>83.126461718636321</v>
      </c>
      <c r="J95" s="4">
        <v>7.5824301540173584</v>
      </c>
      <c r="K95" s="4">
        <v>7.1605036966580604</v>
      </c>
      <c r="L95" s="4">
        <v>25.31558744155787</v>
      </c>
      <c r="M95" s="4">
        <v>16.387023506531531</v>
      </c>
      <c r="N95" s="4">
        <v>117.3393423957416</v>
      </c>
      <c r="O95" s="4">
        <v>1719.6347230720171</v>
      </c>
      <c r="P95" s="5">
        <v>3.2772320821891007E-2</v>
      </c>
      <c r="Q95" s="5">
        <v>0.96722767917810903</v>
      </c>
      <c r="R95" s="5">
        <v>2.1231708851838449E-2</v>
      </c>
      <c r="S95" s="5">
        <v>8.7407807476307282E-3</v>
      </c>
      <c r="T95" s="5">
        <v>0.84750918424474442</v>
      </c>
      <c r="U95" s="5">
        <v>0.44345483597727459</v>
      </c>
      <c r="V95" s="5">
        <v>0.55896239073534459</v>
      </c>
      <c r="W95" s="4">
        <v>0.68521105542962768</v>
      </c>
      <c r="X95" s="6">
        <v>72875.335326617162</v>
      </c>
      <c r="Y95" s="6">
        <v>20090.826001035639</v>
      </c>
      <c r="Z95" s="6">
        <v>4693.1067937541302</v>
      </c>
      <c r="AA95" s="6">
        <v>100283.16564238891</v>
      </c>
      <c r="AB95" s="6">
        <v>1247.268698796637</v>
      </c>
      <c r="AC95" s="3" t="s">
        <v>143</v>
      </c>
      <c r="AD95" s="3" t="s">
        <v>43</v>
      </c>
    </row>
    <row r="96" spans="1:30">
      <c r="A96" s="2">
        <v>46016</v>
      </c>
      <c r="B96" s="3" t="s">
        <v>30</v>
      </c>
      <c r="C96" s="3" t="s">
        <v>56</v>
      </c>
      <c r="D96" s="3" t="s">
        <v>45</v>
      </c>
      <c r="E96" s="3" t="s">
        <v>33</v>
      </c>
      <c r="F96" s="3" t="s">
        <v>34</v>
      </c>
      <c r="G96" s="4">
        <v>94.389464479168424</v>
      </c>
      <c r="H96" s="4">
        <v>95.958441359209743</v>
      </c>
      <c r="I96" s="4">
        <v>106.0774073302487</v>
      </c>
      <c r="J96" s="4">
        <v>7.9848764412701039</v>
      </c>
      <c r="K96" s="4">
        <v>7.3239727415815246</v>
      </c>
      <c r="L96" s="4">
        <v>39.65422198131472</v>
      </c>
      <c r="M96" s="4">
        <v>16.586578216467959</v>
      </c>
      <c r="N96" s="4">
        <v>121.47964673352119</v>
      </c>
      <c r="O96" s="4">
        <v>2099.32317973829</v>
      </c>
      <c r="P96" s="5">
        <v>9.5392282161796751E-2</v>
      </c>
      <c r="Q96" s="5">
        <v>0.90460771783820326</v>
      </c>
      <c r="R96" s="5">
        <v>5.7083961471179959E-3</v>
      </c>
      <c r="S96" s="5">
        <v>5.0184197544719906E-3</v>
      </c>
      <c r="T96" s="5">
        <v>0.73369046305081553</v>
      </c>
      <c r="U96" s="5">
        <v>0.68071621661729165</v>
      </c>
      <c r="V96" s="5">
        <v>1.0166223729385351</v>
      </c>
      <c r="W96" s="4">
        <v>0.78991373402414455</v>
      </c>
      <c r="X96" s="6">
        <v>90684.379189570609</v>
      </c>
      <c r="Y96" s="6">
        <v>19442.891696444771</v>
      </c>
      <c r="Z96" s="6">
        <v>4945.41021849967</v>
      </c>
      <c r="AA96" s="6">
        <v>117618.1425026856</v>
      </c>
      <c r="AB96" s="6">
        <v>1225.7196014928511</v>
      </c>
      <c r="AC96" s="3" t="s">
        <v>144</v>
      </c>
      <c r="AD96" s="3" t="s">
        <v>36</v>
      </c>
    </row>
    <row r="97" spans="1:30">
      <c r="A97" s="2">
        <v>46017</v>
      </c>
      <c r="B97" s="3" t="s">
        <v>30</v>
      </c>
      <c r="C97" s="3" t="s">
        <v>44</v>
      </c>
      <c r="D97" s="3" t="s">
        <v>37</v>
      </c>
      <c r="E97" s="3" t="s">
        <v>50</v>
      </c>
      <c r="F97" s="3" t="s">
        <v>51</v>
      </c>
      <c r="G97" s="4">
        <v>98.45985447737155</v>
      </c>
      <c r="H97" s="4">
        <v>143.27548221933779</v>
      </c>
      <c r="I97" s="4">
        <v>146.00125537200779</v>
      </c>
      <c r="J97" s="4">
        <v>8.4455727896951647</v>
      </c>
      <c r="K97" s="4">
        <v>8.1440449255399905</v>
      </c>
      <c r="L97" s="4">
        <v>18.09167184931043</v>
      </c>
      <c r="M97" s="4">
        <v>14.892048830989729</v>
      </c>
      <c r="N97" s="4">
        <v>121.28151471291569</v>
      </c>
      <c r="O97" s="4">
        <v>2376.4737284929879</v>
      </c>
      <c r="P97" s="5">
        <v>1.8669518599170501E-2</v>
      </c>
      <c r="Q97" s="5">
        <v>0.98133048140082946</v>
      </c>
      <c r="R97" s="5">
        <v>1.522564384491705E-2</v>
      </c>
      <c r="S97" s="5">
        <v>3.3941987027652238E-3</v>
      </c>
      <c r="T97" s="5">
        <v>0.7854628183044029</v>
      </c>
      <c r="U97" s="5">
        <v>0.7925914678592596</v>
      </c>
      <c r="V97" s="5">
        <v>1.4551665039507651</v>
      </c>
      <c r="W97" s="4">
        <v>1.1813464117634409</v>
      </c>
      <c r="X97" s="6">
        <v>116990.14732231481</v>
      </c>
      <c r="Y97" s="6">
        <v>20797.108098568631</v>
      </c>
      <c r="Z97" s="6">
        <v>5793.4169883699624</v>
      </c>
      <c r="AA97" s="6">
        <v>148530.9344655977</v>
      </c>
      <c r="AB97" s="6">
        <v>1036.680750710819</v>
      </c>
      <c r="AC97" s="3" t="s">
        <v>145</v>
      </c>
      <c r="AD97" s="3" t="s">
        <v>41</v>
      </c>
    </row>
    <row r="98" spans="1:30">
      <c r="A98" s="2">
        <v>46018</v>
      </c>
      <c r="B98" s="3" t="s">
        <v>30</v>
      </c>
      <c r="C98" s="3" t="s">
        <v>63</v>
      </c>
      <c r="D98" s="3" t="s">
        <v>32</v>
      </c>
      <c r="E98" s="3" t="s">
        <v>33</v>
      </c>
      <c r="F98" s="3" t="s">
        <v>34</v>
      </c>
      <c r="G98" s="4">
        <v>145.25938221774871</v>
      </c>
      <c r="H98" s="4">
        <v>110.35428816021189</v>
      </c>
      <c r="I98" s="4">
        <v>116.4827399115712</v>
      </c>
      <c r="J98" s="4">
        <v>8.0811344871568505</v>
      </c>
      <c r="K98" s="4">
        <v>7.7486121483440824</v>
      </c>
      <c r="L98" s="4">
        <v>19.95134032876614</v>
      </c>
      <c r="M98" s="4">
        <v>17.77199886320944</v>
      </c>
      <c r="N98" s="4">
        <v>137.70832629182189</v>
      </c>
      <c r="O98" s="4">
        <v>1987.8285463218469</v>
      </c>
      <c r="P98" s="5">
        <v>5.2612530886651361E-2</v>
      </c>
      <c r="Q98" s="5">
        <v>0.94738746911334859</v>
      </c>
      <c r="R98" s="5">
        <v>3.7743146483445712E-2</v>
      </c>
      <c r="S98" s="5">
        <v>1.935613989268347E-2</v>
      </c>
      <c r="T98" s="5">
        <v>0.76058126531796255</v>
      </c>
      <c r="U98" s="5">
        <v>0.54331731621771062</v>
      </c>
      <c r="V98" s="5">
        <v>0.7597050632831901</v>
      </c>
      <c r="W98" s="4">
        <v>0.80136249660283254</v>
      </c>
      <c r="X98" s="6">
        <v>78448.18464515738</v>
      </c>
      <c r="Y98" s="6">
        <v>24775.600400246269</v>
      </c>
      <c r="Z98" s="6">
        <v>5396.2313186510328</v>
      </c>
      <c r="AA98" s="6">
        <v>112257.1462500568</v>
      </c>
      <c r="AB98" s="6">
        <v>1017.243173070741</v>
      </c>
      <c r="AC98" s="3" t="s">
        <v>146</v>
      </c>
      <c r="AD98" s="3" t="s">
        <v>49</v>
      </c>
    </row>
    <row r="99" spans="1:30">
      <c r="A99" s="2">
        <v>46019</v>
      </c>
      <c r="B99" s="3" t="s">
        <v>30</v>
      </c>
      <c r="C99" s="3" t="s">
        <v>31</v>
      </c>
      <c r="D99" s="3" t="s">
        <v>32</v>
      </c>
      <c r="E99" s="3" t="s">
        <v>33</v>
      </c>
      <c r="F99" s="3" t="s">
        <v>34</v>
      </c>
      <c r="G99" s="4">
        <v>128.78004431899831</v>
      </c>
      <c r="H99" s="4">
        <v>140.04585825237879</v>
      </c>
      <c r="I99" s="4">
        <v>147.63451666872021</v>
      </c>
      <c r="J99" s="4">
        <v>7.8985341767698696</v>
      </c>
      <c r="K99" s="4">
        <v>7.7005495694596924</v>
      </c>
      <c r="L99" s="4">
        <v>11.87907643861066</v>
      </c>
      <c r="M99" s="4">
        <v>15.969461095461559</v>
      </c>
      <c r="N99" s="4">
        <v>122.9736267631598</v>
      </c>
      <c r="O99" s="4">
        <v>2356.246509090663</v>
      </c>
      <c r="P99" s="5">
        <v>5.1401654488223557E-2</v>
      </c>
      <c r="Q99" s="5">
        <v>0.94859834551177635</v>
      </c>
      <c r="R99" s="5">
        <v>3.3172961381146587E-2</v>
      </c>
      <c r="S99" s="5">
        <v>8.768835403310235E-3</v>
      </c>
      <c r="T99" s="5">
        <v>0.83603748401933309</v>
      </c>
      <c r="U99" s="5">
        <v>0.84833076233737092</v>
      </c>
      <c r="V99" s="5">
        <v>1.0874810533957739</v>
      </c>
      <c r="W99" s="4">
        <v>1.1388283971009421</v>
      </c>
      <c r="X99" s="6">
        <v>124362.33603202269</v>
      </c>
      <c r="Y99" s="6">
        <v>22117.09311984673</v>
      </c>
      <c r="Z99" s="6">
        <v>6207.2027415717976</v>
      </c>
      <c r="AA99" s="6">
        <v>158279.16612576711</v>
      </c>
      <c r="AB99" s="6">
        <v>1130.195266757049</v>
      </c>
      <c r="AC99" s="3" t="s">
        <v>147</v>
      </c>
      <c r="AD99" s="3" t="s">
        <v>36</v>
      </c>
    </row>
    <row r="100" spans="1:30">
      <c r="A100" s="2">
        <v>46020</v>
      </c>
      <c r="B100" s="3" t="s">
        <v>30</v>
      </c>
      <c r="C100" s="3" t="s">
        <v>63</v>
      </c>
      <c r="D100" s="3" t="s">
        <v>45</v>
      </c>
      <c r="E100" s="3" t="s">
        <v>33</v>
      </c>
      <c r="F100" s="3" t="s">
        <v>34</v>
      </c>
      <c r="G100" s="4">
        <v>61.737284284930332</v>
      </c>
      <c r="H100" s="4">
        <v>158.4183690229186</v>
      </c>
      <c r="I100" s="4">
        <v>168.99869240278991</v>
      </c>
      <c r="J100" s="4">
        <v>7.9269539814287988</v>
      </c>
      <c r="K100" s="4">
        <v>7.8265838706824766</v>
      </c>
      <c r="L100" s="4">
        <v>6.0222066447793532</v>
      </c>
      <c r="M100" s="4">
        <v>16.838671522562031</v>
      </c>
      <c r="N100" s="4">
        <v>131.7892749422044</v>
      </c>
      <c r="O100" s="4">
        <v>2517.750722169611</v>
      </c>
      <c r="P100" s="5">
        <v>6.2605948184819613E-2</v>
      </c>
      <c r="Q100" s="5">
        <v>0.93739405181518054</v>
      </c>
      <c r="R100" s="5">
        <v>3.2256117666601088E-2</v>
      </c>
      <c r="S100" s="5">
        <v>9.5430808725838322E-3</v>
      </c>
      <c r="T100" s="5">
        <v>0.91923914437451459</v>
      </c>
      <c r="U100" s="5">
        <v>0.9438854809131787</v>
      </c>
      <c r="V100" s="5">
        <v>2.566008059113599</v>
      </c>
      <c r="W100" s="4">
        <v>1.202058127206423</v>
      </c>
      <c r="X100" s="6">
        <v>106303.06567063549</v>
      </c>
      <c r="Y100" s="6">
        <v>24717.111968253041</v>
      </c>
      <c r="Z100" s="6">
        <v>5657.7126920665369</v>
      </c>
      <c r="AA100" s="6">
        <v>143304.33688590681</v>
      </c>
      <c r="AB100" s="6">
        <v>904.59419428295473</v>
      </c>
      <c r="AC100" s="3" t="s">
        <v>148</v>
      </c>
      <c r="AD100" s="3" t="s">
        <v>43</v>
      </c>
    </row>
    <row r="101" spans="1:30">
      <c r="A101" s="2">
        <v>46021</v>
      </c>
      <c r="B101" s="3" t="s">
        <v>30</v>
      </c>
      <c r="C101" s="3" t="s">
        <v>63</v>
      </c>
      <c r="D101" s="3" t="s">
        <v>45</v>
      </c>
      <c r="E101" s="3" t="s">
        <v>33</v>
      </c>
      <c r="F101" s="3" t="s">
        <v>34</v>
      </c>
      <c r="G101" s="4">
        <v>81.539923103111605</v>
      </c>
      <c r="H101" s="4">
        <v>124.819320036918</v>
      </c>
      <c r="I101" s="4">
        <v>130.39357309050791</v>
      </c>
      <c r="J101" s="4">
        <v>8.1611269235784381</v>
      </c>
      <c r="K101" s="4">
        <v>7.9096450160911074</v>
      </c>
      <c r="L101" s="4">
        <v>15.08891444923983</v>
      </c>
      <c r="M101" s="4">
        <v>20.17810879128649</v>
      </c>
      <c r="N101" s="4">
        <v>159.6016776351434</v>
      </c>
      <c r="O101" s="4">
        <v>2184.102654359664</v>
      </c>
      <c r="P101" s="5">
        <v>4.2749446322179509E-2</v>
      </c>
      <c r="Q101" s="5">
        <v>0.95725055367782064</v>
      </c>
      <c r="R101" s="5">
        <v>2.8954406643679109E-2</v>
      </c>
      <c r="S101" s="5">
        <v>1.392956575566937E-2</v>
      </c>
      <c r="T101" s="5">
        <v>0.75697711213980512</v>
      </c>
      <c r="U101" s="5">
        <v>0.75960330482876914</v>
      </c>
      <c r="V101" s="5">
        <v>1.5307755426636509</v>
      </c>
      <c r="W101" s="4">
        <v>0.78206771937736519</v>
      </c>
      <c r="X101" s="6">
        <v>81518.927217041055</v>
      </c>
      <c r="Y101" s="6">
        <v>28267.799554252091</v>
      </c>
      <c r="Z101" s="6">
        <v>5685.347354740552</v>
      </c>
      <c r="AA101" s="6">
        <v>120926.6926068913</v>
      </c>
      <c r="AB101" s="6">
        <v>968.81390293685786</v>
      </c>
      <c r="AC101" s="3" t="s">
        <v>149</v>
      </c>
      <c r="AD101" s="3" t="s">
        <v>36</v>
      </c>
    </row>
    <row r="102" spans="1:30">
      <c r="A102" s="2">
        <v>46022</v>
      </c>
      <c r="B102" s="3" t="s">
        <v>30</v>
      </c>
      <c r="C102" s="3" t="s">
        <v>31</v>
      </c>
      <c r="D102" s="3" t="s">
        <v>32</v>
      </c>
      <c r="E102" s="3" t="s">
        <v>33</v>
      </c>
      <c r="F102" s="3" t="s">
        <v>34</v>
      </c>
      <c r="G102" s="4">
        <v>90.676386879712624</v>
      </c>
      <c r="H102" s="4">
        <v>126.1608237380903</v>
      </c>
      <c r="I102" s="4">
        <v>133.13022675989239</v>
      </c>
      <c r="J102" s="4">
        <v>7.8662961494717818</v>
      </c>
      <c r="K102" s="4">
        <v>7.465867816294101</v>
      </c>
      <c r="L102" s="4">
        <v>24.025699990660861</v>
      </c>
      <c r="M102" s="4">
        <v>16.016784821736731</v>
      </c>
      <c r="N102" s="4">
        <v>119.5791983211121</v>
      </c>
      <c r="O102" s="4">
        <v>2246.0061879541881</v>
      </c>
      <c r="P102" s="5">
        <v>5.235026778983682E-2</v>
      </c>
      <c r="Q102" s="5">
        <v>0.94764973221016313</v>
      </c>
      <c r="R102" s="5">
        <v>2.171260919018592E-2</v>
      </c>
      <c r="S102" s="5">
        <v>8.2329010501499614E-3</v>
      </c>
      <c r="T102" s="5">
        <v>0.84195324112995495</v>
      </c>
      <c r="U102" s="5">
        <v>0.83214110033623079</v>
      </c>
      <c r="V102" s="5">
        <v>1.3913305114974399</v>
      </c>
      <c r="W102" s="4">
        <v>1.0550398857776599</v>
      </c>
      <c r="X102" s="6">
        <v>106249.3281833816</v>
      </c>
      <c r="Y102" s="6">
        <v>20505.29129168926</v>
      </c>
      <c r="Z102" s="6">
        <v>5982.3904779404374</v>
      </c>
      <c r="AA102" s="6">
        <v>139003.24999028511</v>
      </c>
      <c r="AB102" s="6">
        <v>1101.794090048553</v>
      </c>
      <c r="AC102" s="3" t="s">
        <v>150</v>
      </c>
      <c r="AD102" s="3" t="s">
        <v>43</v>
      </c>
    </row>
    <row r="103" spans="1:30">
      <c r="A103" s="2">
        <v>46023</v>
      </c>
      <c r="B103" s="3" t="s">
        <v>30</v>
      </c>
      <c r="C103" s="3" t="s">
        <v>31</v>
      </c>
      <c r="D103" s="3" t="s">
        <v>37</v>
      </c>
      <c r="E103" s="3" t="s">
        <v>50</v>
      </c>
      <c r="F103" s="3" t="s">
        <v>51</v>
      </c>
      <c r="G103" s="4">
        <v>84.601944671140828</v>
      </c>
      <c r="H103" s="4">
        <v>142.986355136247</v>
      </c>
      <c r="I103" s="4">
        <v>152.0081838879519</v>
      </c>
      <c r="J103" s="4">
        <v>8.3805901091659063</v>
      </c>
      <c r="K103" s="4">
        <v>8.0575323343094514</v>
      </c>
      <c r="L103" s="4">
        <v>19.383466491387299</v>
      </c>
      <c r="M103" s="4">
        <v>16.47503647495504</v>
      </c>
      <c r="N103" s="4">
        <v>132.74813910587781</v>
      </c>
      <c r="O103" s="4">
        <v>2520.24660355171</v>
      </c>
      <c r="P103" s="5">
        <v>5.9350940988513477E-2</v>
      </c>
      <c r="Q103" s="5">
        <v>0.94064905901148654</v>
      </c>
      <c r="R103" s="5">
        <v>1.441426537861309E-2</v>
      </c>
      <c r="S103" s="5">
        <v>1.6551756908505771E-2</v>
      </c>
      <c r="T103" s="5">
        <v>0.82524578557873318</v>
      </c>
      <c r="U103" s="5">
        <v>0.81931627147022312</v>
      </c>
      <c r="V103" s="5">
        <v>1.690107191886123</v>
      </c>
      <c r="W103" s="4">
        <v>1.077125119036157</v>
      </c>
      <c r="X103" s="6">
        <v>95140.482076778761</v>
      </c>
      <c r="Y103" s="6">
        <v>22237.405603118499</v>
      </c>
      <c r="Z103" s="6">
        <v>5338.971022740212</v>
      </c>
      <c r="AA103" s="6">
        <v>126230.40483870231</v>
      </c>
      <c r="AB103" s="6">
        <v>882.81434070000262</v>
      </c>
      <c r="AC103" s="3" t="s">
        <v>151</v>
      </c>
      <c r="AD103" s="3" t="s">
        <v>43</v>
      </c>
    </row>
    <row r="104" spans="1:30">
      <c r="A104" s="2">
        <v>46024</v>
      </c>
      <c r="B104" s="3" t="s">
        <v>30</v>
      </c>
      <c r="C104" s="3" t="s">
        <v>44</v>
      </c>
      <c r="D104" s="3" t="s">
        <v>32</v>
      </c>
      <c r="E104" s="3" t="s">
        <v>33</v>
      </c>
      <c r="F104" s="3" t="s">
        <v>34</v>
      </c>
      <c r="G104" s="4">
        <v>144.85543234016811</v>
      </c>
      <c r="H104" s="4">
        <v>132.07903289719869</v>
      </c>
      <c r="I104" s="4">
        <v>139.87161341596101</v>
      </c>
      <c r="J104" s="4">
        <v>7.2324668492504909</v>
      </c>
      <c r="K104" s="4">
        <v>7.1700027618876536</v>
      </c>
      <c r="L104" s="4">
        <v>3.7478452417702588</v>
      </c>
      <c r="M104" s="4">
        <v>20.76127183079355</v>
      </c>
      <c r="N104" s="4">
        <v>148.8583763670901</v>
      </c>
      <c r="O104" s="4">
        <v>2169.1970410560261</v>
      </c>
      <c r="P104" s="5">
        <v>5.5712380292548283E-2</v>
      </c>
      <c r="Q104" s="5">
        <v>0.94428761970745168</v>
      </c>
      <c r="R104" s="5">
        <v>3.6008550977651238E-2</v>
      </c>
      <c r="S104" s="5">
        <v>9.8895051587074879E-3</v>
      </c>
      <c r="T104" s="5">
        <v>0.90355353542320083</v>
      </c>
      <c r="U104" s="5">
        <v>0.80866662298422487</v>
      </c>
      <c r="V104" s="5">
        <v>0.91179896234083779</v>
      </c>
      <c r="W104" s="4">
        <v>0.88727981669964628</v>
      </c>
      <c r="X104" s="6">
        <v>106732.5833976266</v>
      </c>
      <c r="Y104" s="6">
        <v>22012.559839795191</v>
      </c>
      <c r="Z104" s="6">
        <v>4495.1886422179095</v>
      </c>
      <c r="AA104" s="6">
        <v>140027.20672378261</v>
      </c>
      <c r="AB104" s="6">
        <v>1060.1774078158969</v>
      </c>
      <c r="AC104" s="3" t="s">
        <v>152</v>
      </c>
      <c r="AD104" s="3" t="s">
        <v>49</v>
      </c>
    </row>
    <row r="105" spans="1:30">
      <c r="A105" s="2">
        <v>46025</v>
      </c>
      <c r="B105" s="3" t="s">
        <v>30</v>
      </c>
      <c r="C105" s="3" t="s">
        <v>44</v>
      </c>
      <c r="D105" s="3" t="s">
        <v>45</v>
      </c>
      <c r="E105" s="3" t="s">
        <v>38</v>
      </c>
      <c r="F105" s="3" t="s">
        <v>39</v>
      </c>
      <c r="G105" s="4">
        <v>79.86852994770743</v>
      </c>
      <c r="H105" s="4">
        <v>110.6273931909917</v>
      </c>
      <c r="I105" s="4">
        <v>116.6279933758273</v>
      </c>
      <c r="J105" s="4">
        <v>7.9148104907816599</v>
      </c>
      <c r="K105" s="4">
        <v>7.6980425660879312</v>
      </c>
      <c r="L105" s="4">
        <v>13.00607548162373</v>
      </c>
      <c r="M105" s="4">
        <v>17.403262084298401</v>
      </c>
      <c r="N105" s="4">
        <v>133.9710523137133</v>
      </c>
      <c r="O105" s="4">
        <v>1997.144774083496</v>
      </c>
      <c r="P105" s="5">
        <v>5.1450771046870333E-2</v>
      </c>
      <c r="Q105" s="5">
        <v>0.94854922895312965</v>
      </c>
      <c r="R105" s="5">
        <v>2.9788783391568239E-2</v>
      </c>
      <c r="S105" s="5">
        <v>6.3593622364604176E-3</v>
      </c>
      <c r="T105" s="5">
        <v>0.68617464666726535</v>
      </c>
      <c r="U105" s="5">
        <v>0.69629471492999739</v>
      </c>
      <c r="V105" s="5">
        <v>1.3851186852121</v>
      </c>
      <c r="W105" s="4">
        <v>0.82575594712760103</v>
      </c>
      <c r="X105" s="6">
        <v>73086.711338141802</v>
      </c>
      <c r="Y105" s="6">
        <v>25430.061114759941</v>
      </c>
      <c r="Z105" s="6">
        <v>4549.7444836962886</v>
      </c>
      <c r="AA105" s="6">
        <v>108247.77430152911</v>
      </c>
      <c r="AB105" s="6">
        <v>978.48978611152586</v>
      </c>
      <c r="AC105" s="3" t="s">
        <v>153</v>
      </c>
      <c r="AD105" s="3" t="s">
        <v>36</v>
      </c>
    </row>
    <row r="106" spans="1:30">
      <c r="A106" s="2">
        <v>46026</v>
      </c>
      <c r="B106" s="3" t="s">
        <v>30</v>
      </c>
      <c r="C106" s="3" t="s">
        <v>31</v>
      </c>
      <c r="D106" s="3" t="s">
        <v>32</v>
      </c>
      <c r="E106" s="3" t="s">
        <v>33</v>
      </c>
      <c r="F106" s="3" t="s">
        <v>34</v>
      </c>
      <c r="G106" s="4">
        <v>120.45500629917061</v>
      </c>
      <c r="H106" s="4">
        <v>148.74117443992799</v>
      </c>
      <c r="I106" s="4">
        <v>156.7479194727988</v>
      </c>
      <c r="J106" s="4">
        <v>7.3887779231277282</v>
      </c>
      <c r="K106" s="4">
        <v>7.2127970146450178</v>
      </c>
      <c r="L106" s="4">
        <v>10.558854508962609</v>
      </c>
      <c r="M106" s="4">
        <v>16.06791402080421</v>
      </c>
      <c r="N106" s="4">
        <v>115.8946022808294</v>
      </c>
      <c r="O106" s="4">
        <v>2244.9223412621182</v>
      </c>
      <c r="P106" s="5">
        <v>5.1080391113326913E-2</v>
      </c>
      <c r="Q106" s="5">
        <v>0.94891960888667304</v>
      </c>
      <c r="R106" s="5">
        <v>3.4361495114959402E-2</v>
      </c>
      <c r="S106" s="5">
        <v>1.084033133939475E-2</v>
      </c>
      <c r="T106" s="5">
        <v>0.95655711590800852</v>
      </c>
      <c r="U106" s="5">
        <v>0.96983466460282641</v>
      </c>
      <c r="V106" s="5">
        <v>1.2348276672744001</v>
      </c>
      <c r="W106" s="4">
        <v>1.28341761835902</v>
      </c>
      <c r="X106" s="6">
        <v>110524.3692069692</v>
      </c>
      <c r="Y106" s="6">
        <v>18928.176254896109</v>
      </c>
      <c r="Z106" s="6">
        <v>5907.5328629950554</v>
      </c>
      <c r="AA106" s="6">
        <v>140551.36603715681</v>
      </c>
      <c r="AB106" s="6">
        <v>944.93919767939701</v>
      </c>
      <c r="AC106" s="3" t="s">
        <v>154</v>
      </c>
      <c r="AD106" s="3" t="s">
        <v>43</v>
      </c>
    </row>
    <row r="107" spans="1:30">
      <c r="A107" s="2">
        <v>46027</v>
      </c>
      <c r="B107" s="3" t="s">
        <v>30</v>
      </c>
      <c r="C107" s="3" t="s">
        <v>63</v>
      </c>
      <c r="D107" s="3" t="s">
        <v>45</v>
      </c>
      <c r="E107" s="3" t="s">
        <v>33</v>
      </c>
      <c r="F107" s="3" t="s">
        <v>34</v>
      </c>
      <c r="G107" s="4">
        <v>68.675210454147461</v>
      </c>
      <c r="H107" s="4">
        <v>165.08893764522369</v>
      </c>
      <c r="I107" s="4">
        <v>169.65957114767281</v>
      </c>
      <c r="J107" s="4">
        <v>8.0011590871660569</v>
      </c>
      <c r="K107" s="4">
        <v>7.9354692496000272</v>
      </c>
      <c r="L107" s="4">
        <v>3.9413902539617869</v>
      </c>
      <c r="M107" s="4">
        <v>13.1108046405856</v>
      </c>
      <c r="N107" s="4">
        <v>104.0403870628804</v>
      </c>
      <c r="O107" s="4">
        <v>2454.9409531473548</v>
      </c>
      <c r="P107" s="5">
        <v>2.6940027441604671E-2</v>
      </c>
      <c r="Q107" s="5">
        <v>0.97305997255839538</v>
      </c>
      <c r="R107" s="5">
        <v>3.039125220342977E-2</v>
      </c>
      <c r="S107" s="5">
        <v>1.1371739626084711E-2</v>
      </c>
      <c r="T107" s="5">
        <v>0.88196416518246401</v>
      </c>
      <c r="U107" s="5">
        <v>0.908014883403228</v>
      </c>
      <c r="V107" s="5">
        <v>2.4039087256303202</v>
      </c>
      <c r="W107" s="4">
        <v>1.586777426591526</v>
      </c>
      <c r="X107" s="6">
        <v>124946.981903989</v>
      </c>
      <c r="Y107" s="6">
        <v>15226.173747671661</v>
      </c>
      <c r="Z107" s="6">
        <v>5173.0399147117378</v>
      </c>
      <c r="AA107" s="6">
        <v>150248.73949893771</v>
      </c>
      <c r="AB107" s="6">
        <v>910.10785847942407</v>
      </c>
      <c r="AC107" s="3" t="s">
        <v>155</v>
      </c>
      <c r="AD107" s="3" t="s">
        <v>41</v>
      </c>
    </row>
    <row r="108" spans="1:30">
      <c r="A108" s="2">
        <v>46028</v>
      </c>
      <c r="B108" s="3" t="s">
        <v>30</v>
      </c>
      <c r="C108" s="3" t="s">
        <v>63</v>
      </c>
      <c r="D108" s="3" t="s">
        <v>37</v>
      </c>
      <c r="E108" s="3" t="s">
        <v>50</v>
      </c>
      <c r="F108" s="3" t="s">
        <v>51</v>
      </c>
      <c r="G108" s="4">
        <v>97.527818758812501</v>
      </c>
      <c r="H108" s="4">
        <v>99.01993904688382</v>
      </c>
      <c r="I108" s="4">
        <v>102.95809847912891</v>
      </c>
      <c r="J108" s="4">
        <v>7.6286247305569228</v>
      </c>
      <c r="K108" s="4">
        <v>7.0418110175696658</v>
      </c>
      <c r="L108" s="4">
        <v>35.20882277923544</v>
      </c>
      <c r="M108" s="4">
        <v>16.515768309252149</v>
      </c>
      <c r="N108" s="4">
        <v>116.3009192437197</v>
      </c>
      <c r="O108" s="4">
        <v>2000.7499679292901</v>
      </c>
      <c r="P108" s="5">
        <v>3.825011815892701E-2</v>
      </c>
      <c r="Q108" s="5">
        <v>0.96174988184107291</v>
      </c>
      <c r="R108" s="5">
        <v>2.4545143970144841E-2</v>
      </c>
      <c r="S108" s="5">
        <v>1.5531838736471029E-2</v>
      </c>
      <c r="T108" s="5">
        <v>0.81967050159161192</v>
      </c>
      <c r="U108" s="5">
        <v>0.7562636714002785</v>
      </c>
      <c r="V108" s="5">
        <v>1.0152994325830389</v>
      </c>
      <c r="W108" s="4">
        <v>0.85141149090471102</v>
      </c>
      <c r="X108" s="6">
        <v>79755.263965645558</v>
      </c>
      <c r="Y108" s="6">
        <v>17378.437424482261</v>
      </c>
      <c r="Z108" s="6">
        <v>5138.7667453044178</v>
      </c>
      <c r="AA108" s="6">
        <v>107971.59376669581</v>
      </c>
      <c r="AB108" s="6">
        <v>1090.402547264481</v>
      </c>
      <c r="AC108" s="3" t="s">
        <v>156</v>
      </c>
      <c r="AD108" s="3" t="s">
        <v>36</v>
      </c>
    </row>
    <row r="109" spans="1:30">
      <c r="A109" s="2">
        <v>46029</v>
      </c>
      <c r="B109" s="3" t="s">
        <v>30</v>
      </c>
      <c r="C109" s="3" t="s">
        <v>63</v>
      </c>
      <c r="D109" s="3" t="s">
        <v>32</v>
      </c>
      <c r="E109" s="3" t="s">
        <v>38</v>
      </c>
      <c r="F109" s="3" t="s">
        <v>39</v>
      </c>
      <c r="G109" s="4">
        <v>113.3245184479686</v>
      </c>
      <c r="H109" s="4">
        <v>131.8115988448636</v>
      </c>
      <c r="I109" s="4">
        <v>143.48757036489161</v>
      </c>
      <c r="J109" s="4">
        <v>7.333480464843948</v>
      </c>
      <c r="K109" s="4">
        <v>7.2798369225681112</v>
      </c>
      <c r="L109" s="4">
        <v>3.2186125365501992</v>
      </c>
      <c r="M109" s="4">
        <v>10.121301041649319</v>
      </c>
      <c r="N109" s="4">
        <v>73.681421027425827</v>
      </c>
      <c r="O109" s="4">
        <v>2241.590288373412</v>
      </c>
      <c r="P109" s="5">
        <v>8.1372703505507293E-2</v>
      </c>
      <c r="Q109" s="5">
        <v>0.91862729649449271</v>
      </c>
      <c r="R109" s="5">
        <v>2.719481417226716E-2</v>
      </c>
      <c r="S109" s="5">
        <v>1.77917231748328E-2</v>
      </c>
      <c r="T109" s="5">
        <v>0.79754395983911575</v>
      </c>
      <c r="U109" s="5">
        <v>0.8165053413146891</v>
      </c>
      <c r="V109" s="5">
        <v>1.163133985920118</v>
      </c>
      <c r="W109" s="4">
        <v>1.7889394233561331</v>
      </c>
      <c r="X109" s="6">
        <v>110735.7030819045</v>
      </c>
      <c r="Y109" s="6">
        <v>11930.02206402602</v>
      </c>
      <c r="Z109" s="6">
        <v>4821.9737150148658</v>
      </c>
      <c r="AA109" s="6">
        <v>132650.02716124279</v>
      </c>
      <c r="AB109" s="6">
        <v>1006.36080833346</v>
      </c>
      <c r="AC109" s="3" t="s">
        <v>157</v>
      </c>
      <c r="AD109" s="3" t="s">
        <v>41</v>
      </c>
    </row>
    <row r="110" spans="1:30">
      <c r="A110" s="2">
        <v>46030</v>
      </c>
      <c r="B110" s="3" t="s">
        <v>30</v>
      </c>
      <c r="C110" s="3" t="s">
        <v>44</v>
      </c>
      <c r="D110" s="3" t="s">
        <v>32</v>
      </c>
      <c r="E110" s="3" t="s">
        <v>46</v>
      </c>
      <c r="F110" s="3" t="s">
        <v>47</v>
      </c>
      <c r="G110" s="4">
        <v>75.930712872440253</v>
      </c>
      <c r="H110" s="4">
        <v>134.6296819341915</v>
      </c>
      <c r="I110" s="4">
        <v>146.23761321179339</v>
      </c>
      <c r="J110" s="4">
        <v>8.0660763311413763</v>
      </c>
      <c r="K110" s="4">
        <v>8.0084211799401555</v>
      </c>
      <c r="L110" s="4">
        <v>3.459309072073224</v>
      </c>
      <c r="M110" s="4">
        <v>18.434773745418049</v>
      </c>
      <c r="N110" s="4">
        <v>147.63343251021061</v>
      </c>
      <c r="O110" s="4">
        <v>2136.681420775446</v>
      </c>
      <c r="P110" s="5">
        <v>7.9377193203983204E-2</v>
      </c>
      <c r="Q110" s="5">
        <v>0.92062280679601671</v>
      </c>
      <c r="R110" s="5">
        <v>1.581412293103614E-2</v>
      </c>
      <c r="S110" s="5">
        <v>1.5204876519022021E-2</v>
      </c>
      <c r="T110" s="5">
        <v>0.90890470331218498</v>
      </c>
      <c r="U110" s="5">
        <v>0.93312133059382107</v>
      </c>
      <c r="V110" s="5">
        <v>1.7730596334629769</v>
      </c>
      <c r="W110" s="4">
        <v>0.91191865992061261</v>
      </c>
      <c r="X110" s="6">
        <v>92262.385358098094</v>
      </c>
      <c r="Y110" s="6">
        <v>21932.323216809851</v>
      </c>
      <c r="Z110" s="6">
        <v>4877.6116099696319</v>
      </c>
      <c r="AA110" s="6">
        <v>122951.71512514639</v>
      </c>
      <c r="AB110" s="6">
        <v>913.25860210563815</v>
      </c>
      <c r="AC110" s="3" t="s">
        <v>158</v>
      </c>
      <c r="AD110" s="3" t="s">
        <v>43</v>
      </c>
    </row>
    <row r="111" spans="1:30">
      <c r="A111" s="2">
        <v>46031</v>
      </c>
      <c r="B111" s="3" t="s">
        <v>30</v>
      </c>
      <c r="C111" s="3" t="s">
        <v>31</v>
      </c>
      <c r="D111" s="3" t="s">
        <v>45</v>
      </c>
      <c r="E111" s="3" t="s">
        <v>46</v>
      </c>
      <c r="F111" s="3" t="s">
        <v>47</v>
      </c>
      <c r="G111" s="4">
        <v>133.64200884162639</v>
      </c>
      <c r="H111" s="4">
        <v>100.73683825977641</v>
      </c>
      <c r="I111" s="4">
        <v>103.99228606259121</v>
      </c>
      <c r="J111" s="4">
        <v>7.2037773715741684</v>
      </c>
      <c r="K111" s="4">
        <v>6.9939582844555934</v>
      </c>
      <c r="L111" s="4">
        <v>12.589145227114431</v>
      </c>
      <c r="M111" s="4">
        <v>15.424962525875049</v>
      </c>
      <c r="N111" s="4">
        <v>107.8815444452609</v>
      </c>
      <c r="O111" s="4">
        <v>2008.4308785991959</v>
      </c>
      <c r="P111" s="5">
        <v>3.1304704666799611E-2</v>
      </c>
      <c r="Q111" s="5">
        <v>0.96869529533320042</v>
      </c>
      <c r="R111" s="5">
        <v>2.622215277712853E-2</v>
      </c>
      <c r="S111" s="5">
        <v>1.5526675956497709E-2</v>
      </c>
      <c r="T111" s="5">
        <v>0.79990672615995906</v>
      </c>
      <c r="U111" s="5">
        <v>0.57630365907268422</v>
      </c>
      <c r="V111" s="5">
        <v>0.75378123340809322</v>
      </c>
      <c r="W111" s="4">
        <v>0.93377267425838806</v>
      </c>
      <c r="X111" s="6">
        <v>69151.843479385047</v>
      </c>
      <c r="Y111" s="6">
        <v>16005.12571053057</v>
      </c>
      <c r="Z111" s="6">
        <v>4215.0284340635062</v>
      </c>
      <c r="AA111" s="6">
        <v>94291.089315217047</v>
      </c>
      <c r="AB111" s="6">
        <v>936.01398400119217</v>
      </c>
      <c r="AC111" s="3" t="s">
        <v>159</v>
      </c>
      <c r="AD111" s="3" t="s">
        <v>36</v>
      </c>
    </row>
    <row r="112" spans="1:30">
      <c r="A112" s="2">
        <v>46032</v>
      </c>
      <c r="B112" s="3" t="s">
        <v>30</v>
      </c>
      <c r="C112" s="3" t="s">
        <v>31</v>
      </c>
      <c r="D112" s="3" t="s">
        <v>45</v>
      </c>
      <c r="E112" s="3" t="s">
        <v>33</v>
      </c>
      <c r="F112" s="3" t="s">
        <v>34</v>
      </c>
      <c r="G112" s="4">
        <v>98.930098024186407</v>
      </c>
      <c r="H112" s="4">
        <v>151.42996719257019</v>
      </c>
      <c r="I112" s="4">
        <v>158.26894316208879</v>
      </c>
      <c r="J112" s="4">
        <v>7.6229394500674443</v>
      </c>
      <c r="K112" s="4">
        <v>7.534244178829054</v>
      </c>
      <c r="L112" s="4">
        <v>5.3217162743034034</v>
      </c>
      <c r="M112" s="4">
        <v>17.813761635667142</v>
      </c>
      <c r="N112" s="4">
        <v>134.2132299065735</v>
      </c>
      <c r="O112" s="4">
        <v>2414.6477501083291</v>
      </c>
      <c r="P112" s="5">
        <v>4.3211105305192968E-2</v>
      </c>
      <c r="Q112" s="5">
        <v>0.95678889469480699</v>
      </c>
      <c r="R112" s="5">
        <v>3.3234298221146721E-2</v>
      </c>
      <c r="S112" s="5">
        <v>8.2789459530998987E-3</v>
      </c>
      <c r="T112" s="5">
        <v>0.94601906201622832</v>
      </c>
      <c r="U112" s="5">
        <v>0.97363446973958656</v>
      </c>
      <c r="V112" s="5">
        <v>1.530676409069651</v>
      </c>
      <c r="W112" s="4">
        <v>1.128278987831389</v>
      </c>
      <c r="X112" s="6">
        <v>138541.76200510419</v>
      </c>
      <c r="Y112" s="6">
        <v>24734.979003199791</v>
      </c>
      <c r="Z112" s="6">
        <v>5868.5471596546777</v>
      </c>
      <c r="AA112" s="6">
        <v>171865.3135710471</v>
      </c>
      <c r="AB112" s="6">
        <v>1134.9491567444491</v>
      </c>
      <c r="AC112" s="3" t="s">
        <v>160</v>
      </c>
      <c r="AD112" s="3" t="s">
        <v>43</v>
      </c>
    </row>
    <row r="113" spans="1:30">
      <c r="A113" s="2">
        <v>46033</v>
      </c>
      <c r="B113" s="3" t="s">
        <v>30</v>
      </c>
      <c r="C113" s="3" t="s">
        <v>44</v>
      </c>
      <c r="D113" s="3" t="s">
        <v>45</v>
      </c>
      <c r="E113" s="3" t="s">
        <v>33</v>
      </c>
      <c r="F113" s="3" t="s">
        <v>34</v>
      </c>
      <c r="G113" s="4">
        <v>85.700652571603626</v>
      </c>
      <c r="H113" s="4">
        <v>118.07368874632949</v>
      </c>
      <c r="I113" s="4">
        <v>124.0869039497606</v>
      </c>
      <c r="J113" s="4">
        <v>7.2616718455124989</v>
      </c>
      <c r="K113" s="4">
        <v>7.1452599855169163</v>
      </c>
      <c r="L113" s="4">
        <v>6.9847115997349363</v>
      </c>
      <c r="M113" s="4">
        <v>14.59076314682577</v>
      </c>
      <c r="N113" s="4">
        <v>104.254796071169</v>
      </c>
      <c r="O113" s="4">
        <v>2046.318483427852</v>
      </c>
      <c r="P113" s="5">
        <v>4.8459708575416302E-2</v>
      </c>
      <c r="Q113" s="5">
        <v>0.95154029142458374</v>
      </c>
      <c r="R113" s="5">
        <v>2.5921752530363409E-2</v>
      </c>
      <c r="S113" s="5">
        <v>1E-3</v>
      </c>
      <c r="T113" s="5">
        <v>0.90519999936287432</v>
      </c>
      <c r="U113" s="5">
        <v>0.93428795208446691</v>
      </c>
      <c r="V113" s="5">
        <v>1.377745503719215</v>
      </c>
      <c r="W113" s="4">
        <v>1.132549227430526</v>
      </c>
      <c r="X113" s="6">
        <v>77140.527081204156</v>
      </c>
      <c r="Y113" s="6">
        <v>17966.55540053318</v>
      </c>
      <c r="Z113" s="6">
        <v>5288.8235307263858</v>
      </c>
      <c r="AA113" s="6">
        <v>103458.1248854997</v>
      </c>
      <c r="AB113" s="6">
        <v>876.21658969061252</v>
      </c>
      <c r="AC113" s="3" t="s">
        <v>161</v>
      </c>
      <c r="AD113" s="3" t="s">
        <v>41</v>
      </c>
    </row>
    <row r="114" spans="1:30">
      <c r="A114" s="2">
        <v>46034</v>
      </c>
      <c r="B114" s="3" t="s">
        <v>30</v>
      </c>
      <c r="C114" s="3" t="s">
        <v>44</v>
      </c>
      <c r="D114" s="3" t="s">
        <v>45</v>
      </c>
      <c r="E114" s="3" t="s">
        <v>33</v>
      </c>
      <c r="F114" s="3" t="s">
        <v>34</v>
      </c>
      <c r="G114" s="4">
        <v>69.459121415748825</v>
      </c>
      <c r="H114" s="4">
        <v>92.795750700562508</v>
      </c>
      <c r="I114" s="4">
        <v>98.596338513007694</v>
      </c>
      <c r="J114" s="4">
        <v>7.6374465573602519</v>
      </c>
      <c r="K114" s="4">
        <v>7.5488872481010354</v>
      </c>
      <c r="L114" s="4">
        <v>5.3135585555529934</v>
      </c>
      <c r="M114" s="4">
        <v>18.663921597334749</v>
      </c>
      <c r="N114" s="4">
        <v>140.8918397456778</v>
      </c>
      <c r="O114" s="4">
        <v>1901.6876844051769</v>
      </c>
      <c r="P114" s="5">
        <v>5.8831675698382331E-2</v>
      </c>
      <c r="Q114" s="5">
        <v>0.94116832430161768</v>
      </c>
      <c r="R114" s="5">
        <v>2.6112044773018199E-2</v>
      </c>
      <c r="S114" s="5">
        <v>1.549880969581314E-2</v>
      </c>
      <c r="T114" s="5">
        <v>0.75986675358954903</v>
      </c>
      <c r="U114" s="5">
        <v>0.77638608367335238</v>
      </c>
      <c r="V114" s="5">
        <v>1.3359764536198471</v>
      </c>
      <c r="W114" s="4">
        <v>0.65863112347788932</v>
      </c>
      <c r="X114" s="6">
        <v>86139.651240867766</v>
      </c>
      <c r="Y114" s="6">
        <v>21057.207782126541</v>
      </c>
      <c r="Z114" s="6">
        <v>3841.6483262956931</v>
      </c>
      <c r="AA114" s="6">
        <v>115950.32621286481</v>
      </c>
      <c r="AB114" s="6">
        <v>1249.5219375617589</v>
      </c>
      <c r="AC114" s="3" t="s">
        <v>162</v>
      </c>
      <c r="AD114" s="3" t="s">
        <v>43</v>
      </c>
    </row>
    <row r="115" spans="1:30">
      <c r="A115" s="2">
        <v>46035</v>
      </c>
      <c r="B115" s="3" t="s">
        <v>30</v>
      </c>
      <c r="C115" s="3" t="s">
        <v>56</v>
      </c>
      <c r="D115" s="3" t="s">
        <v>37</v>
      </c>
      <c r="E115" s="3" t="s">
        <v>50</v>
      </c>
      <c r="F115" s="3" t="s">
        <v>51</v>
      </c>
      <c r="G115" s="4">
        <v>77.700636759243423</v>
      </c>
      <c r="H115" s="4">
        <v>124.5320026675827</v>
      </c>
      <c r="I115" s="4">
        <v>129.9544593055347</v>
      </c>
      <c r="J115" s="4">
        <v>8.0051288757708523</v>
      </c>
      <c r="K115" s="4">
        <v>7.4486185008567629</v>
      </c>
      <c r="L115" s="4">
        <v>33.390622494845367</v>
      </c>
      <c r="M115" s="4">
        <v>14.10017847858389</v>
      </c>
      <c r="N115" s="4">
        <v>105.02685028096229</v>
      </c>
      <c r="O115" s="4">
        <v>2032.9644408461829</v>
      </c>
      <c r="P115" s="5">
        <v>4.172582200664135E-2</v>
      </c>
      <c r="Q115" s="5">
        <v>0.95827417799335868</v>
      </c>
      <c r="R115" s="5">
        <v>1.084777049286628E-2</v>
      </c>
      <c r="S115" s="5">
        <v>9.1230198336438792E-3</v>
      </c>
      <c r="T115" s="5">
        <v>0.92038588904551522</v>
      </c>
      <c r="U115" s="5">
        <v>0.89101782670954077</v>
      </c>
      <c r="V115" s="5">
        <v>1.6027153426483101</v>
      </c>
      <c r="W115" s="4">
        <v>1.185715865366249</v>
      </c>
      <c r="X115" s="6">
        <v>102930.2609051406</v>
      </c>
      <c r="Y115" s="6">
        <v>15646.946018340681</v>
      </c>
      <c r="Z115" s="6">
        <v>5363.0285838991003</v>
      </c>
      <c r="AA115" s="6">
        <v>126642.12414057591</v>
      </c>
      <c r="AB115" s="6">
        <v>1016.944411298242</v>
      </c>
      <c r="AC115" s="3" t="s">
        <v>163</v>
      </c>
      <c r="AD115" s="3" t="s">
        <v>36</v>
      </c>
    </row>
    <row r="116" spans="1:30">
      <c r="A116" s="2">
        <v>46036</v>
      </c>
      <c r="B116" s="3" t="s">
        <v>30</v>
      </c>
      <c r="C116" s="3" t="s">
        <v>31</v>
      </c>
      <c r="D116" s="3" t="s">
        <v>45</v>
      </c>
      <c r="E116" s="3" t="s">
        <v>46</v>
      </c>
      <c r="F116" s="3" t="s">
        <v>47</v>
      </c>
      <c r="G116" s="4">
        <v>119.1196204031253</v>
      </c>
      <c r="H116" s="4">
        <v>101.1225123726029</v>
      </c>
      <c r="I116" s="4">
        <v>107.11594262374859</v>
      </c>
      <c r="J116" s="4">
        <v>7.923413089464499</v>
      </c>
      <c r="K116" s="4">
        <v>7.4591447697754711</v>
      </c>
      <c r="L116" s="4">
        <v>27.856099181341651</v>
      </c>
      <c r="M116" s="4">
        <v>12.363066839342229</v>
      </c>
      <c r="N116" s="4">
        <v>92.217905353064168</v>
      </c>
      <c r="O116" s="4">
        <v>1879.868751681531</v>
      </c>
      <c r="P116" s="5">
        <v>5.595273779364518E-2</v>
      </c>
      <c r="Q116" s="5">
        <v>0.94404726220635482</v>
      </c>
      <c r="R116" s="5">
        <v>1.686827093888248E-2</v>
      </c>
      <c r="S116" s="5">
        <v>1.538115890814894E-2</v>
      </c>
      <c r="T116" s="5">
        <v>0.7720465451461771</v>
      </c>
      <c r="U116" s="5">
        <v>0.6075092761790889</v>
      </c>
      <c r="V116" s="5">
        <v>0.84891567006663937</v>
      </c>
      <c r="W116" s="4">
        <v>1.0965604996713669</v>
      </c>
      <c r="X116" s="6">
        <v>81228.265299902792</v>
      </c>
      <c r="Y116" s="6">
        <v>17941.25096202347</v>
      </c>
      <c r="Z116" s="6">
        <v>4551.4729989178022</v>
      </c>
      <c r="AA116" s="6">
        <v>106898.823858409</v>
      </c>
      <c r="AB116" s="6">
        <v>1057.121914302548</v>
      </c>
      <c r="AC116" s="3" t="s">
        <v>164</v>
      </c>
      <c r="AD116" s="3" t="s">
        <v>43</v>
      </c>
    </row>
    <row r="117" spans="1:30">
      <c r="A117" s="2">
        <v>46037</v>
      </c>
      <c r="B117" s="3" t="s">
        <v>30</v>
      </c>
      <c r="C117" s="3" t="s">
        <v>56</v>
      </c>
      <c r="D117" s="3" t="s">
        <v>45</v>
      </c>
      <c r="E117" s="3" t="s">
        <v>50</v>
      </c>
      <c r="F117" s="3" t="s">
        <v>51</v>
      </c>
      <c r="G117" s="4">
        <v>143.79794032519919</v>
      </c>
      <c r="H117" s="4">
        <v>118.5150178378732</v>
      </c>
      <c r="I117" s="4">
        <v>124.9683372462694</v>
      </c>
      <c r="J117" s="4">
        <v>8.1829509850426696</v>
      </c>
      <c r="K117" s="4">
        <v>7.9936378372252577</v>
      </c>
      <c r="L117" s="4">
        <v>11.3587888690447</v>
      </c>
      <c r="M117" s="4">
        <v>15.47875708165906</v>
      </c>
      <c r="N117" s="4">
        <v>123.7315782811683</v>
      </c>
      <c r="O117" s="4">
        <v>1814.4264309761429</v>
      </c>
      <c r="P117" s="5">
        <v>5.1639635691710963E-2</v>
      </c>
      <c r="Q117" s="5">
        <v>0.94836036430828907</v>
      </c>
      <c r="R117" s="5">
        <v>2.082494366837493E-2</v>
      </c>
      <c r="S117" s="5">
        <v>2.3816080397684469E-2</v>
      </c>
      <c r="T117" s="5">
        <v>0.97335663671547312</v>
      </c>
      <c r="U117" s="5">
        <v>0.76499550397682858</v>
      </c>
      <c r="V117" s="5">
        <v>0.82417743654638831</v>
      </c>
      <c r="W117" s="4">
        <v>0.95783970013345365</v>
      </c>
      <c r="X117" s="6">
        <v>86053.264365852578</v>
      </c>
      <c r="Y117" s="6">
        <v>18417.39252559403</v>
      </c>
      <c r="Z117" s="6">
        <v>4920.7782236498433</v>
      </c>
      <c r="AA117" s="6">
        <v>113207.9515238054</v>
      </c>
      <c r="AB117" s="6">
        <v>955.22030531752705</v>
      </c>
      <c r="AC117" s="3" t="s">
        <v>165</v>
      </c>
      <c r="AD117" s="3" t="s">
        <v>49</v>
      </c>
    </row>
    <row r="118" spans="1:30">
      <c r="A118" s="2">
        <v>46038</v>
      </c>
      <c r="B118" s="3" t="s">
        <v>30</v>
      </c>
      <c r="C118" s="3" t="s">
        <v>56</v>
      </c>
      <c r="D118" s="3" t="s">
        <v>37</v>
      </c>
      <c r="E118" s="3" t="s">
        <v>33</v>
      </c>
      <c r="F118" s="3" t="s">
        <v>34</v>
      </c>
      <c r="G118" s="4">
        <v>100.3567304271305</v>
      </c>
      <c r="H118" s="4">
        <v>121.6735229958921</v>
      </c>
      <c r="I118" s="4">
        <v>130.14092886174419</v>
      </c>
      <c r="J118" s="4">
        <v>8.0740840297703969</v>
      </c>
      <c r="K118" s="4">
        <v>7.5450354723845559</v>
      </c>
      <c r="L118" s="4">
        <v>31.74291344315046</v>
      </c>
      <c r="M118" s="4">
        <v>16.598346476935181</v>
      </c>
      <c r="N118" s="4">
        <v>125.2351129514052</v>
      </c>
      <c r="O118" s="4">
        <v>2244.1866800105672</v>
      </c>
      <c r="P118" s="5">
        <v>6.5063358160349083E-2</v>
      </c>
      <c r="Q118" s="5">
        <v>0.93493664183965108</v>
      </c>
      <c r="R118" s="5">
        <v>8.5728833488457334E-3</v>
      </c>
      <c r="S118" s="5">
        <v>1.239637390232632E-2</v>
      </c>
      <c r="T118" s="5">
        <v>0.8079277118116962</v>
      </c>
      <c r="U118" s="5">
        <v>0.7829111901676854</v>
      </c>
      <c r="V118" s="5">
        <v>1.2124101938956631</v>
      </c>
      <c r="W118" s="4">
        <v>0.97156077180291178</v>
      </c>
      <c r="X118" s="6">
        <v>99587.824372351402</v>
      </c>
      <c r="Y118" s="6">
        <v>24160.128043027791</v>
      </c>
      <c r="Z118" s="6">
        <v>5744.3738808643629</v>
      </c>
      <c r="AA118" s="6">
        <v>132582.07462241661</v>
      </c>
      <c r="AB118" s="6">
        <v>1089.6542761147209</v>
      </c>
      <c r="AC118" s="3" t="s">
        <v>166</v>
      </c>
      <c r="AD118" s="3" t="s">
        <v>36</v>
      </c>
    </row>
    <row r="119" spans="1:30">
      <c r="A119" s="2">
        <v>46039</v>
      </c>
      <c r="B119" s="3" t="s">
        <v>30</v>
      </c>
      <c r="C119" s="3" t="s">
        <v>44</v>
      </c>
      <c r="D119" s="3" t="s">
        <v>45</v>
      </c>
      <c r="E119" s="3" t="s">
        <v>33</v>
      </c>
      <c r="F119" s="3" t="s">
        <v>34</v>
      </c>
      <c r="G119" s="4">
        <v>108.31531856911499</v>
      </c>
      <c r="H119" s="4">
        <v>97.854782271024575</v>
      </c>
      <c r="I119" s="4">
        <v>103.48614363221409</v>
      </c>
      <c r="J119" s="4">
        <v>7.5761934435057734</v>
      </c>
      <c r="K119" s="4">
        <v>7.4293374698723653</v>
      </c>
      <c r="L119" s="4">
        <v>8.8113584180044668</v>
      </c>
      <c r="M119" s="4">
        <v>20.168958486954821</v>
      </c>
      <c r="N119" s="4">
        <v>149.84199901543369</v>
      </c>
      <c r="O119" s="4">
        <v>1859.6769822617721</v>
      </c>
      <c r="P119" s="5">
        <v>5.4416573693219623E-2</v>
      </c>
      <c r="Q119" s="5">
        <v>0.94558342630678038</v>
      </c>
      <c r="R119" s="5">
        <v>3.727169465406921E-2</v>
      </c>
      <c r="S119" s="5">
        <v>1.0668610614329711E-2</v>
      </c>
      <c r="T119" s="5">
        <v>0.75461046292002265</v>
      </c>
      <c r="U119" s="5">
        <v>0.66138724597562915</v>
      </c>
      <c r="V119" s="5">
        <v>0.90342514395675533</v>
      </c>
      <c r="W119" s="4">
        <v>0.65305310202745992</v>
      </c>
      <c r="X119" s="6">
        <v>83087.386582139996</v>
      </c>
      <c r="Y119" s="6">
        <v>27370.667644166799</v>
      </c>
      <c r="Z119" s="6">
        <v>4770.2864299288003</v>
      </c>
      <c r="AA119" s="6">
        <v>120517.586203926</v>
      </c>
      <c r="AB119" s="6">
        <v>1231.596283870246</v>
      </c>
      <c r="AC119" s="3" t="s">
        <v>167</v>
      </c>
      <c r="AD119" s="3" t="s">
        <v>49</v>
      </c>
    </row>
    <row r="120" spans="1:30">
      <c r="A120" s="2">
        <v>46040</v>
      </c>
      <c r="B120" s="3" t="s">
        <v>30</v>
      </c>
      <c r="C120" s="3" t="s">
        <v>56</v>
      </c>
      <c r="D120" s="3" t="s">
        <v>32</v>
      </c>
      <c r="E120" s="3" t="s">
        <v>33</v>
      </c>
      <c r="F120" s="3" t="s">
        <v>34</v>
      </c>
      <c r="G120" s="4">
        <v>136.81543170812719</v>
      </c>
      <c r="H120" s="4">
        <v>102.15327769351239</v>
      </c>
      <c r="I120" s="4">
        <v>107.392378048089</v>
      </c>
      <c r="J120" s="4">
        <v>7.8763040327530041</v>
      </c>
      <c r="K120" s="4">
        <v>7.8150801624925306</v>
      </c>
      <c r="L120" s="4">
        <v>3.6734322156283712</v>
      </c>
      <c r="M120" s="4">
        <v>10</v>
      </c>
      <c r="N120" s="4">
        <v>78.150801624925322</v>
      </c>
      <c r="O120" s="4">
        <v>2147.667680113098</v>
      </c>
      <c r="P120" s="5">
        <v>4.8784657252218117E-2</v>
      </c>
      <c r="Q120" s="5">
        <v>0.95121534274778186</v>
      </c>
      <c r="R120" s="5">
        <v>2.676586083276174E-2</v>
      </c>
      <c r="S120" s="5">
        <v>1.041168074699359E-2</v>
      </c>
      <c r="T120" s="5">
        <v>0.77143269500814826</v>
      </c>
      <c r="U120" s="5">
        <v>0.56556273711264338</v>
      </c>
      <c r="V120" s="5">
        <v>0.74665026026771053</v>
      </c>
      <c r="W120" s="4">
        <v>1.30713026059264</v>
      </c>
      <c r="X120" s="6">
        <v>80457.187720592454</v>
      </c>
      <c r="Y120" s="6">
        <v>11921.79425183786</v>
      </c>
      <c r="Z120" s="6">
        <v>5400.048979557343</v>
      </c>
      <c r="AA120" s="6">
        <v>103837.6982608882</v>
      </c>
      <c r="AB120" s="6">
        <v>1016.489148516894</v>
      </c>
      <c r="AC120" s="3" t="s">
        <v>168</v>
      </c>
      <c r="AD120" s="3" t="s">
        <v>41</v>
      </c>
    </row>
    <row r="121" spans="1:30">
      <c r="A121" s="2">
        <v>46041</v>
      </c>
      <c r="B121" s="3" t="s">
        <v>30</v>
      </c>
      <c r="C121" s="3" t="s">
        <v>56</v>
      </c>
      <c r="D121" s="3" t="s">
        <v>32</v>
      </c>
      <c r="E121" s="3" t="s">
        <v>38</v>
      </c>
      <c r="F121" s="3" t="s">
        <v>39</v>
      </c>
      <c r="G121" s="4">
        <v>78.701847552086974</v>
      </c>
      <c r="H121" s="4">
        <v>118.57117458833279</v>
      </c>
      <c r="I121" s="4">
        <v>127.15558575405549</v>
      </c>
      <c r="J121" s="4">
        <v>8.0950702339910432</v>
      </c>
      <c r="K121" s="4">
        <v>7.9227598638912058</v>
      </c>
      <c r="L121" s="4">
        <v>10.33862220599023</v>
      </c>
      <c r="M121" s="4">
        <v>14.36792689786526</v>
      </c>
      <c r="N121" s="4">
        <v>113.83363455372979</v>
      </c>
      <c r="O121" s="4">
        <v>1967.502828755061</v>
      </c>
      <c r="P121" s="5">
        <v>6.7511081914455956E-2</v>
      </c>
      <c r="Q121" s="5">
        <v>0.93248891808554402</v>
      </c>
      <c r="R121" s="5">
        <v>2.979684455514273E-2</v>
      </c>
      <c r="S121" s="5">
        <v>2.079092169488295E-2</v>
      </c>
      <c r="T121" s="5">
        <v>0.86044795223369297</v>
      </c>
      <c r="U121" s="5">
        <v>0.86585507602308187</v>
      </c>
      <c r="V121" s="5">
        <v>1.5065869261818701</v>
      </c>
      <c r="W121" s="4">
        <v>1.0416181039389281</v>
      </c>
      <c r="X121" s="6">
        <v>90454.459287804595</v>
      </c>
      <c r="Y121" s="6">
        <v>18782.148920608801</v>
      </c>
      <c r="Z121" s="6">
        <v>4668.4668537916559</v>
      </c>
      <c r="AA121" s="6">
        <v>119048.07199302661</v>
      </c>
      <c r="AB121" s="6">
        <v>1004.02203491995</v>
      </c>
      <c r="AC121" s="3" t="s">
        <v>169</v>
      </c>
      <c r="AD121" s="3" t="s">
        <v>43</v>
      </c>
    </row>
    <row r="122" spans="1:30">
      <c r="A122" s="2">
        <v>46042</v>
      </c>
      <c r="B122" s="3" t="s">
        <v>30</v>
      </c>
      <c r="C122" s="3" t="s">
        <v>31</v>
      </c>
      <c r="D122" s="3" t="s">
        <v>45</v>
      </c>
      <c r="E122" s="3" t="s">
        <v>50</v>
      </c>
      <c r="F122" s="3" t="s">
        <v>51</v>
      </c>
      <c r="G122" s="4">
        <v>104.512768733139</v>
      </c>
      <c r="H122" s="4">
        <v>121.9516801121913</v>
      </c>
      <c r="I122" s="4">
        <v>125.71373443769581</v>
      </c>
      <c r="J122" s="4">
        <v>8.4838918975819571</v>
      </c>
      <c r="K122" s="4">
        <v>8.3517751331705963</v>
      </c>
      <c r="L122" s="4">
        <v>7.9270058646816954</v>
      </c>
      <c r="M122" s="4">
        <v>12.94160075307779</v>
      </c>
      <c r="N122" s="4">
        <v>108.085339352977</v>
      </c>
      <c r="O122" s="4">
        <v>2153.5055544726429</v>
      </c>
      <c r="P122" s="5">
        <v>2.9925563362919339E-2</v>
      </c>
      <c r="Q122" s="5">
        <v>0.97007443663708071</v>
      </c>
      <c r="R122" s="5">
        <v>2.00216200931474E-2</v>
      </c>
      <c r="S122" s="5">
        <v>1.380307869367998E-2</v>
      </c>
      <c r="T122" s="5">
        <v>0.87865968687750129</v>
      </c>
      <c r="U122" s="5">
        <v>0.89568914184222226</v>
      </c>
      <c r="V122" s="5">
        <v>1.1668591464032541</v>
      </c>
      <c r="W122" s="4">
        <v>1.1282906714474079</v>
      </c>
      <c r="X122" s="6">
        <v>107917.98028985631</v>
      </c>
      <c r="Y122" s="6">
        <v>19647.75962321107</v>
      </c>
      <c r="Z122" s="6">
        <v>4439.8733475675581</v>
      </c>
      <c r="AA122" s="6">
        <v>135909.1341654078</v>
      </c>
      <c r="AB122" s="6">
        <v>1114.450690965275</v>
      </c>
      <c r="AC122" s="3" t="s">
        <v>170</v>
      </c>
      <c r="AD122" s="3" t="s">
        <v>41</v>
      </c>
    </row>
    <row r="123" spans="1:30">
      <c r="A123" s="2">
        <v>46043</v>
      </c>
      <c r="B123" s="3" t="s">
        <v>30</v>
      </c>
      <c r="C123" s="3" t="s">
        <v>44</v>
      </c>
      <c r="D123" s="3" t="s">
        <v>32</v>
      </c>
      <c r="E123" s="3" t="s">
        <v>33</v>
      </c>
      <c r="F123" s="3" t="s">
        <v>34</v>
      </c>
      <c r="G123" s="4">
        <v>130.5376128901641</v>
      </c>
      <c r="H123" s="4">
        <v>89.638949138714636</v>
      </c>
      <c r="I123" s="4">
        <v>92.90284900029593</v>
      </c>
      <c r="J123" s="4">
        <v>8.1763927079994865</v>
      </c>
      <c r="K123" s="4">
        <v>7.7883755335729354</v>
      </c>
      <c r="L123" s="4">
        <v>23.281030465593119</v>
      </c>
      <c r="M123" s="4">
        <v>17.932105177022201</v>
      </c>
      <c r="N123" s="4">
        <v>139.6619692261763</v>
      </c>
      <c r="O123" s="4">
        <v>1841.8686069526</v>
      </c>
      <c r="P123" s="5">
        <v>3.5132397947999341E-2</v>
      </c>
      <c r="Q123" s="5">
        <v>0.96486760205200062</v>
      </c>
      <c r="R123" s="5">
        <v>2.6076179522724809E-2</v>
      </c>
      <c r="S123" s="5">
        <v>4.8161002576291986E-3</v>
      </c>
      <c r="T123" s="5">
        <v>0.75872564111848406</v>
      </c>
      <c r="U123" s="5">
        <v>0.49389466402315663</v>
      </c>
      <c r="V123" s="5">
        <v>0.68669058024017882</v>
      </c>
      <c r="W123" s="4">
        <v>0.64182790515826382</v>
      </c>
      <c r="X123" s="6">
        <v>64218.814830305659</v>
      </c>
      <c r="Y123" s="6">
        <v>26200.373239215991</v>
      </c>
      <c r="Z123" s="6">
        <v>4323.0841459175281</v>
      </c>
      <c r="AA123" s="6">
        <v>101321.003003095</v>
      </c>
      <c r="AB123" s="6">
        <v>1130.323413835458</v>
      </c>
      <c r="AC123" s="3" t="s">
        <v>171</v>
      </c>
      <c r="AD123" s="3" t="s">
        <v>36</v>
      </c>
    </row>
    <row r="124" spans="1:30">
      <c r="A124" s="2">
        <v>46044</v>
      </c>
      <c r="B124" s="3" t="s">
        <v>30</v>
      </c>
      <c r="C124" s="3" t="s">
        <v>44</v>
      </c>
      <c r="D124" s="3" t="s">
        <v>45</v>
      </c>
      <c r="E124" s="3" t="s">
        <v>33</v>
      </c>
      <c r="F124" s="3" t="s">
        <v>34</v>
      </c>
      <c r="G124" s="4">
        <v>97.232114037978064</v>
      </c>
      <c r="H124" s="4">
        <v>94.420855334888984</v>
      </c>
      <c r="I124" s="4">
        <v>99.787729141391921</v>
      </c>
      <c r="J124" s="4">
        <v>8.1457039715847106</v>
      </c>
      <c r="K124" s="4">
        <v>7.9005159325735486</v>
      </c>
      <c r="L124" s="4">
        <v>14.71128234066965</v>
      </c>
      <c r="M124" s="4">
        <v>19.495770750671429</v>
      </c>
      <c r="N124" s="4">
        <v>154.026647433481</v>
      </c>
      <c r="O124" s="4">
        <v>1953.904152187142</v>
      </c>
      <c r="P124" s="5">
        <v>5.3782903496064863E-2</v>
      </c>
      <c r="Q124" s="5">
        <v>0.94621709650393515</v>
      </c>
      <c r="R124" s="5">
        <v>3.6611862928147818E-2</v>
      </c>
      <c r="S124" s="5">
        <v>2.3252876929563539E-2</v>
      </c>
      <c r="T124" s="5">
        <v>0.70812071413127875</v>
      </c>
      <c r="U124" s="5">
        <v>0.65144007454657071</v>
      </c>
      <c r="V124" s="5">
        <v>0.9710871379183319</v>
      </c>
      <c r="W124" s="4">
        <v>0.6130163637799505</v>
      </c>
      <c r="X124" s="6">
        <v>74708.202534106342</v>
      </c>
      <c r="Y124" s="6">
        <v>23708.654102563702</v>
      </c>
      <c r="Z124" s="6">
        <v>4984.9713198751433</v>
      </c>
      <c r="AA124" s="6">
        <v>109581.1618660277</v>
      </c>
      <c r="AB124" s="6">
        <v>1160.560995527615</v>
      </c>
      <c r="AC124" s="3" t="s">
        <v>172</v>
      </c>
      <c r="AD124" s="3" t="s">
        <v>36</v>
      </c>
    </row>
    <row r="125" spans="1:30">
      <c r="A125" s="2">
        <v>46045</v>
      </c>
      <c r="B125" s="3" t="s">
        <v>30</v>
      </c>
      <c r="C125" s="3" t="s">
        <v>63</v>
      </c>
      <c r="D125" s="3" t="s">
        <v>37</v>
      </c>
      <c r="E125" s="3" t="s">
        <v>38</v>
      </c>
      <c r="F125" s="3" t="s">
        <v>39</v>
      </c>
      <c r="G125" s="4">
        <v>100.86042798088251</v>
      </c>
      <c r="H125" s="4">
        <v>139.19938600344901</v>
      </c>
      <c r="I125" s="4">
        <v>143.9659904594391</v>
      </c>
      <c r="J125" s="4">
        <v>7.9565510263817663</v>
      </c>
      <c r="K125" s="4">
        <v>7.8249254507192001</v>
      </c>
      <c r="L125" s="4">
        <v>7.8975345397539636</v>
      </c>
      <c r="M125" s="4">
        <v>12.76451892603885</v>
      </c>
      <c r="N125" s="4">
        <v>99.88140901054831</v>
      </c>
      <c r="O125" s="4">
        <v>2204.1152126295892</v>
      </c>
      <c r="P125" s="5">
        <v>3.3109239486204242E-2</v>
      </c>
      <c r="Q125" s="5">
        <v>0.96689076051379563</v>
      </c>
      <c r="R125" s="5">
        <v>2.9907161612694591E-2</v>
      </c>
      <c r="S125" s="5">
        <v>2.0951615792243559E-2</v>
      </c>
      <c r="T125" s="5">
        <v>0.84377580023689869</v>
      </c>
      <c r="U125" s="5">
        <v>0.85305272756692541</v>
      </c>
      <c r="V125" s="5">
        <v>1.380118930586268</v>
      </c>
      <c r="W125" s="4">
        <v>1.39364659932609</v>
      </c>
      <c r="X125" s="6">
        <v>108515.2127293325</v>
      </c>
      <c r="Y125" s="6">
        <v>18318.762838749171</v>
      </c>
      <c r="Z125" s="6">
        <v>4492.0688666786582</v>
      </c>
      <c r="AA125" s="6">
        <v>137309.27894870241</v>
      </c>
      <c r="AB125" s="6">
        <v>986.42158482868786</v>
      </c>
      <c r="AC125" s="3" t="s">
        <v>173</v>
      </c>
      <c r="AD125" s="3" t="s">
        <v>49</v>
      </c>
    </row>
    <row r="126" spans="1:30">
      <c r="A126" s="2">
        <v>46046</v>
      </c>
      <c r="B126" s="3" t="s">
        <v>30</v>
      </c>
      <c r="C126" s="3" t="s">
        <v>44</v>
      </c>
      <c r="D126" s="3" t="s">
        <v>32</v>
      </c>
      <c r="E126" s="3" t="s">
        <v>50</v>
      </c>
      <c r="F126" s="3" t="s">
        <v>51</v>
      </c>
      <c r="G126" s="4">
        <v>100.8617343908965</v>
      </c>
      <c r="H126" s="4">
        <v>161.82523290156681</v>
      </c>
      <c r="I126" s="4">
        <v>170.96099029941399</v>
      </c>
      <c r="J126" s="4">
        <v>8.4246281604556117</v>
      </c>
      <c r="K126" s="4">
        <v>8.3423909729932024</v>
      </c>
      <c r="L126" s="4">
        <v>4.9342312477445187</v>
      </c>
      <c r="M126" s="4">
        <v>20.45958513404317</v>
      </c>
      <c r="N126" s="4">
        <v>170.68185833342761</v>
      </c>
      <c r="O126" s="4">
        <v>2483.9890162951369</v>
      </c>
      <c r="P126" s="5">
        <v>5.3437672429524623E-2</v>
      </c>
      <c r="Q126" s="5">
        <v>0.94656232757047543</v>
      </c>
      <c r="R126" s="5">
        <v>5.2168160621433729E-2</v>
      </c>
      <c r="S126" s="5">
        <v>5.0269182974709012E-3</v>
      </c>
      <c r="T126" s="5">
        <v>0.89568006552399337</v>
      </c>
      <c r="U126" s="5">
        <v>0.92660222161951389</v>
      </c>
      <c r="V126" s="5">
        <v>1.6044264346516399</v>
      </c>
      <c r="W126" s="4">
        <v>0.94811032925034511</v>
      </c>
      <c r="X126" s="6">
        <v>125794.63443676921</v>
      </c>
      <c r="Y126" s="6">
        <v>27282.835368187869</v>
      </c>
      <c r="Z126" s="6">
        <v>5428.4703199445212</v>
      </c>
      <c r="AA126" s="6">
        <v>161314.1864802815</v>
      </c>
      <c r="AB126" s="6">
        <v>996.84198556602007</v>
      </c>
      <c r="AC126" s="3" t="s">
        <v>174</v>
      </c>
      <c r="AD126" s="3" t="s">
        <v>43</v>
      </c>
    </row>
    <row r="127" spans="1:30">
      <c r="A127" s="2">
        <v>46047</v>
      </c>
      <c r="B127" s="3" t="s">
        <v>30</v>
      </c>
      <c r="C127" s="3" t="s">
        <v>56</v>
      </c>
      <c r="D127" s="3" t="s">
        <v>45</v>
      </c>
      <c r="E127" s="3" t="s">
        <v>46</v>
      </c>
      <c r="F127" s="3" t="s">
        <v>47</v>
      </c>
      <c r="G127" s="4">
        <v>127.9335818897664</v>
      </c>
      <c r="H127" s="4">
        <v>77.312960815443333</v>
      </c>
      <c r="I127" s="4">
        <v>82.355616660083626</v>
      </c>
      <c r="J127" s="4">
        <v>8.0241650644445794</v>
      </c>
      <c r="K127" s="4">
        <v>7.7528841458547388</v>
      </c>
      <c r="L127" s="4">
        <v>16.276855115390429</v>
      </c>
      <c r="M127" s="4">
        <v>12.61920576974806</v>
      </c>
      <c r="N127" s="4">
        <v>97.835240345558404</v>
      </c>
      <c r="O127" s="4">
        <v>1613.34965613805</v>
      </c>
      <c r="P127" s="5">
        <v>6.1230260292427473E-2</v>
      </c>
      <c r="Q127" s="5">
        <v>0.9387697397075726</v>
      </c>
      <c r="R127" s="5">
        <v>3.3347135211507457E-2</v>
      </c>
      <c r="S127" s="5">
        <v>1.1639390805032301E-2</v>
      </c>
      <c r="T127" s="5">
        <v>0.61868719529616012</v>
      </c>
      <c r="U127" s="5">
        <v>0.35704071411360022</v>
      </c>
      <c r="V127" s="5">
        <v>0.60432108343577717</v>
      </c>
      <c r="W127" s="4">
        <v>0.79023632529925336</v>
      </c>
      <c r="X127" s="6">
        <v>67458.799298334809</v>
      </c>
      <c r="Y127" s="6">
        <v>17373.698674418942</v>
      </c>
      <c r="Z127" s="6">
        <v>3740.3565715489631</v>
      </c>
      <c r="AA127" s="6">
        <v>92091.465350596976</v>
      </c>
      <c r="AB127" s="6">
        <v>1191.151708320057</v>
      </c>
      <c r="AC127" s="3" t="s">
        <v>175</v>
      </c>
      <c r="AD127" s="3" t="s">
        <v>43</v>
      </c>
    </row>
    <row r="128" spans="1:30">
      <c r="A128" s="2">
        <v>46048</v>
      </c>
      <c r="B128" s="3" t="s">
        <v>30</v>
      </c>
      <c r="C128" s="3" t="s">
        <v>31</v>
      </c>
      <c r="D128" s="3" t="s">
        <v>37</v>
      </c>
      <c r="E128" s="3" t="s">
        <v>50</v>
      </c>
      <c r="F128" s="3" t="s">
        <v>51</v>
      </c>
      <c r="G128" s="4">
        <v>107.607400924996</v>
      </c>
      <c r="H128" s="4">
        <v>122.3972180853828</v>
      </c>
      <c r="I128" s="4">
        <v>128.57227889849599</v>
      </c>
      <c r="J128" s="4">
        <v>8.3362729466182088</v>
      </c>
      <c r="K128" s="4">
        <v>8.0973228076185837</v>
      </c>
      <c r="L128" s="4">
        <v>14.33700833997746</v>
      </c>
      <c r="M128" s="4">
        <v>15.691605301373871</v>
      </c>
      <c r="N128" s="4">
        <v>127.05999349496329</v>
      </c>
      <c r="O128" s="4">
        <v>2128.0345539771452</v>
      </c>
      <c r="P128" s="5">
        <v>4.8027933128480103E-2</v>
      </c>
      <c r="Q128" s="5">
        <v>0.95197206687151992</v>
      </c>
      <c r="R128" s="5">
        <v>2.712901102157364E-2</v>
      </c>
      <c r="S128" s="5">
        <v>1.4686683642027611E-2</v>
      </c>
      <c r="T128" s="5">
        <v>0.76016322730208463</v>
      </c>
      <c r="U128" s="5">
        <v>0.76390620118814623</v>
      </c>
      <c r="V128" s="5">
        <v>1.1374423788071559</v>
      </c>
      <c r="W128" s="4">
        <v>0.96330256848497808</v>
      </c>
      <c r="X128" s="6">
        <v>87763.442958072512</v>
      </c>
      <c r="Y128" s="6">
        <v>19829.138126327191</v>
      </c>
      <c r="Z128" s="6">
        <v>4440.4251826210148</v>
      </c>
      <c r="AA128" s="6">
        <v>118331.7300200037</v>
      </c>
      <c r="AB128" s="6">
        <v>966.78447329952382</v>
      </c>
      <c r="AC128" s="3" t="s">
        <v>176</v>
      </c>
      <c r="AD128" s="3" t="s">
        <v>49</v>
      </c>
    </row>
    <row r="129" spans="1:30">
      <c r="A129" s="2">
        <v>46049</v>
      </c>
      <c r="B129" s="3" t="s">
        <v>30</v>
      </c>
      <c r="C129" s="3" t="s">
        <v>63</v>
      </c>
      <c r="D129" s="3" t="s">
        <v>32</v>
      </c>
      <c r="E129" s="3" t="s">
        <v>50</v>
      </c>
      <c r="F129" s="3" t="s">
        <v>51</v>
      </c>
      <c r="G129" s="4">
        <v>113.2709725811054</v>
      </c>
      <c r="H129" s="4">
        <v>103.71164510659609</v>
      </c>
      <c r="I129" s="4">
        <v>105.6639674185032</v>
      </c>
      <c r="J129" s="4">
        <v>7.3988933687124367</v>
      </c>
      <c r="K129" s="4">
        <v>7.2002111103374347</v>
      </c>
      <c r="L129" s="4">
        <v>11.9209355025001</v>
      </c>
      <c r="M129" s="4">
        <v>16.42202630211926</v>
      </c>
      <c r="N129" s="4">
        <v>118.2420562347727</v>
      </c>
      <c r="O129" s="4">
        <v>1766.8733970618521</v>
      </c>
      <c r="P129" s="5">
        <v>1.8476708376608281E-2</v>
      </c>
      <c r="Q129" s="5">
        <v>0.98152329162339169</v>
      </c>
      <c r="R129" s="5">
        <v>1.311205349329401E-2</v>
      </c>
      <c r="S129" s="5">
        <v>1.593155585396205E-2</v>
      </c>
      <c r="T129" s="5">
        <v>0.79121454211331965</v>
      </c>
      <c r="U129" s="5">
        <v>0.69375627103654813</v>
      </c>
      <c r="V129" s="5">
        <v>0.91560655606038388</v>
      </c>
      <c r="W129" s="4">
        <v>0.877113003690277</v>
      </c>
      <c r="X129" s="6">
        <v>75276.124301286909</v>
      </c>
      <c r="Y129" s="6">
        <v>22160.886562517251</v>
      </c>
      <c r="Z129" s="6">
        <v>4736.0131357580422</v>
      </c>
      <c r="AA129" s="6">
        <v>107719.1982894525</v>
      </c>
      <c r="AB129" s="6">
        <v>1038.6413037681291</v>
      </c>
      <c r="AC129" s="3" t="s">
        <v>177</v>
      </c>
      <c r="AD129" s="3" t="s">
        <v>41</v>
      </c>
    </row>
    <row r="130" spans="1:30">
      <c r="A130" s="2">
        <v>46050</v>
      </c>
      <c r="B130" s="3" t="s">
        <v>30</v>
      </c>
      <c r="C130" s="3" t="s">
        <v>63</v>
      </c>
      <c r="D130" s="3" t="s">
        <v>37</v>
      </c>
      <c r="E130" s="3" t="s">
        <v>38</v>
      </c>
      <c r="F130" s="3" t="s">
        <v>39</v>
      </c>
      <c r="G130" s="4">
        <v>56.834957731594777</v>
      </c>
      <c r="H130" s="4">
        <v>125.58847225171949</v>
      </c>
      <c r="I130" s="4">
        <v>129.02677368110119</v>
      </c>
      <c r="J130" s="4">
        <v>8.4573469687935585</v>
      </c>
      <c r="K130" s="4">
        <v>8.3106647089483463</v>
      </c>
      <c r="L130" s="4">
        <v>8.8009355907127702</v>
      </c>
      <c r="M130" s="4">
        <v>10.377659936077031</v>
      </c>
      <c r="N130" s="4">
        <v>86.245252192222551</v>
      </c>
      <c r="O130" s="4">
        <v>1984.6883915600361</v>
      </c>
      <c r="P130" s="5">
        <v>2.664796872221047E-2</v>
      </c>
      <c r="Q130" s="5">
        <v>0.97335203127778958</v>
      </c>
      <c r="R130" s="5">
        <v>1.2264273268962589E-2</v>
      </c>
      <c r="S130" s="5">
        <v>1.7056241097204008E-2</v>
      </c>
      <c r="T130" s="5">
        <v>0.8463012449338333</v>
      </c>
      <c r="U130" s="5">
        <v>0.85831076855150568</v>
      </c>
      <c r="V130" s="5">
        <v>2.209704682896322</v>
      </c>
      <c r="W130" s="4">
        <v>1.4561783873251271</v>
      </c>
      <c r="X130" s="6">
        <v>90971.997240436816</v>
      </c>
      <c r="Y130" s="6">
        <v>12814.558657635491</v>
      </c>
      <c r="Z130" s="6">
        <v>5363.8474114511373</v>
      </c>
      <c r="AA130" s="6">
        <v>114613.57733831331</v>
      </c>
      <c r="AB130" s="6">
        <v>912.61224285451146</v>
      </c>
      <c r="AC130" s="3" t="s">
        <v>178</v>
      </c>
      <c r="AD130" s="3" t="s">
        <v>36</v>
      </c>
    </row>
    <row r="131" spans="1:30">
      <c r="A131" s="2">
        <v>46051</v>
      </c>
      <c r="B131" s="3" t="s">
        <v>30</v>
      </c>
      <c r="C131" s="3" t="s">
        <v>31</v>
      </c>
      <c r="D131" s="3" t="s">
        <v>32</v>
      </c>
      <c r="E131" s="3" t="s">
        <v>38</v>
      </c>
      <c r="F131" s="3" t="s">
        <v>39</v>
      </c>
      <c r="G131" s="4">
        <v>98.646195903204756</v>
      </c>
      <c r="H131" s="4">
        <v>102.07025587929689</v>
      </c>
      <c r="I131" s="4">
        <v>105.6046393329617</v>
      </c>
      <c r="J131" s="4">
        <v>7.4591182202180626</v>
      </c>
      <c r="K131" s="4">
        <v>7.1483273141371502</v>
      </c>
      <c r="L131" s="4">
        <v>18.64745436485482</v>
      </c>
      <c r="M131" s="4">
        <v>15.04118904380913</v>
      </c>
      <c r="N131" s="4">
        <v>107.51934247896121</v>
      </c>
      <c r="O131" s="4">
        <v>1821.3230228999259</v>
      </c>
      <c r="P131" s="5">
        <v>3.3468069925613457E-2</v>
      </c>
      <c r="Q131" s="5">
        <v>0.96653193007438665</v>
      </c>
      <c r="R131" s="5">
        <v>3.384388361336392E-2</v>
      </c>
      <c r="S131" s="5">
        <v>6.3454942460580794E-3</v>
      </c>
      <c r="T131" s="5">
        <v>0.79129974166579753</v>
      </c>
      <c r="U131" s="5">
        <v>0.77967252663960929</v>
      </c>
      <c r="V131" s="5">
        <v>1.0347105120956921</v>
      </c>
      <c r="W131" s="4">
        <v>0.94931994119355279</v>
      </c>
      <c r="X131" s="6">
        <v>70284.03217355872</v>
      </c>
      <c r="Y131" s="6">
        <v>17914.107620584789</v>
      </c>
      <c r="Z131" s="6">
        <v>5015.3727810645296</v>
      </c>
      <c r="AA131" s="6">
        <v>98562.551590852687</v>
      </c>
      <c r="AB131" s="6">
        <v>965.63441270694693</v>
      </c>
      <c r="AC131" s="3" t="s">
        <v>179</v>
      </c>
      <c r="AD131" s="3" t="s">
        <v>43</v>
      </c>
    </row>
    <row r="132" spans="1:30">
      <c r="A132" s="2">
        <v>46052</v>
      </c>
      <c r="B132" s="3" t="s">
        <v>30</v>
      </c>
      <c r="C132" s="3" t="s">
        <v>63</v>
      </c>
      <c r="D132" s="3" t="s">
        <v>32</v>
      </c>
      <c r="E132" s="3" t="s">
        <v>50</v>
      </c>
      <c r="F132" s="3" t="s">
        <v>51</v>
      </c>
      <c r="G132" s="4">
        <v>75.168525090263785</v>
      </c>
      <c r="H132" s="4">
        <v>91.045267120680833</v>
      </c>
      <c r="I132" s="4">
        <v>93.452662621089729</v>
      </c>
      <c r="J132" s="4">
        <v>7.7854316263282222</v>
      </c>
      <c r="K132" s="4">
        <v>7.5208098401966597</v>
      </c>
      <c r="L132" s="4">
        <v>15.877307167893751</v>
      </c>
      <c r="M132" s="4">
        <v>16.965848236585341</v>
      </c>
      <c r="N132" s="4">
        <v>127.5969183649942</v>
      </c>
      <c r="O132" s="4">
        <v>1800.225943105281</v>
      </c>
      <c r="P132" s="5">
        <v>2.5760587584003309E-2</v>
      </c>
      <c r="Q132" s="5">
        <v>0.97423941241599665</v>
      </c>
      <c r="R132" s="5">
        <v>2.1247624432692111E-2</v>
      </c>
      <c r="S132" s="5">
        <v>1.8390544871089279E-2</v>
      </c>
      <c r="T132" s="5">
        <v>0.68858031456142976</v>
      </c>
      <c r="U132" s="5">
        <v>0.68559011583680884</v>
      </c>
      <c r="V132" s="5">
        <v>1.2112152927219471</v>
      </c>
      <c r="W132" s="4">
        <v>0.71353813467691729</v>
      </c>
      <c r="X132" s="6">
        <v>77396.102544052672</v>
      </c>
      <c r="Y132" s="6">
        <v>21009.157877381589</v>
      </c>
      <c r="Z132" s="6">
        <v>3741.48844152528</v>
      </c>
      <c r="AA132" s="6">
        <v>107759.151315408</v>
      </c>
      <c r="AB132" s="6">
        <v>1183.577738012156</v>
      </c>
      <c r="AC132" s="3" t="s">
        <v>180</v>
      </c>
      <c r="AD132" s="3" t="s">
        <v>43</v>
      </c>
    </row>
    <row r="133" spans="1:30">
      <c r="A133" s="2">
        <v>46053</v>
      </c>
      <c r="B133" s="3" t="s">
        <v>30</v>
      </c>
      <c r="C133" s="3" t="s">
        <v>63</v>
      </c>
      <c r="D133" s="3" t="s">
        <v>32</v>
      </c>
      <c r="E133" s="3" t="s">
        <v>46</v>
      </c>
      <c r="F133" s="3" t="s">
        <v>47</v>
      </c>
      <c r="G133" s="4">
        <v>113.40967825543351</v>
      </c>
      <c r="H133" s="4">
        <v>88.770633062208077</v>
      </c>
      <c r="I133" s="4">
        <v>92.689260217551876</v>
      </c>
      <c r="J133" s="4">
        <v>8.0849023640006514</v>
      </c>
      <c r="K133" s="4">
        <v>7.7760577597567906</v>
      </c>
      <c r="L133" s="4">
        <v>18.530676254631619</v>
      </c>
      <c r="M133" s="4">
        <v>17.326093382442419</v>
      </c>
      <c r="N133" s="4">
        <v>134.72870289281221</v>
      </c>
      <c r="O133" s="4">
        <v>1993.1980425623201</v>
      </c>
      <c r="P133" s="5">
        <v>4.2277035614982167E-2</v>
      </c>
      <c r="Q133" s="5">
        <v>0.95772296438501769</v>
      </c>
      <c r="R133" s="5">
        <v>2.9035985506996511E-2</v>
      </c>
      <c r="S133" s="5">
        <v>1.2549020422242761E-2</v>
      </c>
      <c r="T133" s="5">
        <v>0.68085481732037945</v>
      </c>
      <c r="U133" s="5">
        <v>0.50614384101121168</v>
      </c>
      <c r="V133" s="5">
        <v>0.78274301124697054</v>
      </c>
      <c r="W133" s="4">
        <v>0.65888434428729326</v>
      </c>
      <c r="X133" s="6">
        <v>61259.884972527703</v>
      </c>
      <c r="Y133" s="6">
        <v>19841.647696540778</v>
      </c>
      <c r="Z133" s="6">
        <v>5330.3542413147516</v>
      </c>
      <c r="AA133" s="6">
        <v>89538.232845547915</v>
      </c>
      <c r="AB133" s="6">
        <v>1008.64700134336</v>
      </c>
      <c r="AC133" s="3" t="s">
        <v>181</v>
      </c>
      <c r="AD133" s="3" t="s">
        <v>43</v>
      </c>
    </row>
    <row r="134" spans="1:30">
      <c r="A134" s="2">
        <v>46054</v>
      </c>
      <c r="B134" s="3" t="s">
        <v>30</v>
      </c>
      <c r="C134" s="3" t="s">
        <v>63</v>
      </c>
      <c r="D134" s="3" t="s">
        <v>45</v>
      </c>
      <c r="E134" s="3" t="s">
        <v>50</v>
      </c>
      <c r="F134" s="3" t="s">
        <v>51</v>
      </c>
      <c r="G134" s="4">
        <v>61.967925935752064</v>
      </c>
      <c r="H134" s="4">
        <v>87.28796355499118</v>
      </c>
      <c r="I134" s="4">
        <v>92.73363344334615</v>
      </c>
      <c r="J134" s="4">
        <v>7.5059430910811136</v>
      </c>
      <c r="K134" s="4">
        <v>7.3081190577497246</v>
      </c>
      <c r="L134" s="4">
        <v>11.869441999883421</v>
      </c>
      <c r="M134" s="4">
        <v>18.468768348469009</v>
      </c>
      <c r="N134" s="4">
        <v>134.97195794061119</v>
      </c>
      <c r="O134" s="4">
        <v>1785.375285118243</v>
      </c>
      <c r="P134" s="5">
        <v>5.872378430725346E-2</v>
      </c>
      <c r="Q134" s="5">
        <v>0.94127621569274644</v>
      </c>
      <c r="R134" s="5">
        <v>1.9848615198955141E-2</v>
      </c>
      <c r="S134" s="5">
        <v>6.3547018827914961E-3</v>
      </c>
      <c r="T134" s="5">
        <v>0.69885015489164271</v>
      </c>
      <c r="U134" s="5">
        <v>0.70991294135347938</v>
      </c>
      <c r="V134" s="5">
        <v>1.4085990814908149</v>
      </c>
      <c r="W134" s="4">
        <v>0.64671184212500343</v>
      </c>
      <c r="X134" s="6">
        <v>81289.080410723094</v>
      </c>
      <c r="Y134" s="6">
        <v>21242.668573208121</v>
      </c>
      <c r="Z134" s="6">
        <v>4139.1648909369387</v>
      </c>
      <c r="AA134" s="6">
        <v>112297.3307926249</v>
      </c>
      <c r="AB134" s="6">
        <v>1286.5156456752241</v>
      </c>
      <c r="AC134" s="3" t="s">
        <v>182</v>
      </c>
      <c r="AD134" s="3" t="s">
        <v>49</v>
      </c>
    </row>
    <row r="135" spans="1:30">
      <c r="A135" s="2">
        <v>46055</v>
      </c>
      <c r="B135" s="3" t="s">
        <v>30</v>
      </c>
      <c r="C135" s="3" t="s">
        <v>44</v>
      </c>
      <c r="D135" s="3" t="s">
        <v>45</v>
      </c>
      <c r="E135" s="3" t="s">
        <v>33</v>
      </c>
      <c r="F135" s="3" t="s">
        <v>34</v>
      </c>
      <c r="G135" s="4">
        <v>143.4903941104547</v>
      </c>
      <c r="H135" s="4">
        <v>106.9607440955337</v>
      </c>
      <c r="I135" s="4">
        <v>109.77496542623039</v>
      </c>
      <c r="J135" s="4">
        <v>8.3141315176204813</v>
      </c>
      <c r="K135" s="4">
        <v>8.1318173784745991</v>
      </c>
      <c r="L135" s="4">
        <v>10.93884834875297</v>
      </c>
      <c r="M135" s="4">
        <v>10.661613098274961</v>
      </c>
      <c r="N135" s="4">
        <v>86.698290675124753</v>
      </c>
      <c r="O135" s="4">
        <v>1982.1546092537731</v>
      </c>
      <c r="P135" s="5">
        <v>2.5636276174350499E-2</v>
      </c>
      <c r="Q135" s="5">
        <v>0.97436372382564962</v>
      </c>
      <c r="R135" s="5">
        <v>2.7968991272978218E-2</v>
      </c>
      <c r="S135" s="5">
        <v>1.2698992921460969E-2</v>
      </c>
      <c r="T135" s="5">
        <v>0.66105980282587606</v>
      </c>
      <c r="U135" s="5">
        <v>0.47584185903208981</v>
      </c>
      <c r="V135" s="5">
        <v>0.74542093746845883</v>
      </c>
      <c r="W135" s="4">
        <v>1.2337122596376939</v>
      </c>
      <c r="X135" s="6">
        <v>73005.46905875692</v>
      </c>
      <c r="Y135" s="6">
        <v>13879.788593966499</v>
      </c>
      <c r="Z135" s="6">
        <v>5294.6838842242278</v>
      </c>
      <c r="AA135" s="6">
        <v>96598.555644266817</v>
      </c>
      <c r="AB135" s="6">
        <v>903.12157475258618</v>
      </c>
      <c r="AC135" s="3" t="s">
        <v>183</v>
      </c>
      <c r="AD135" s="3" t="s">
        <v>49</v>
      </c>
    </row>
    <row r="136" spans="1:30">
      <c r="A136" s="2">
        <v>46056</v>
      </c>
      <c r="B136" s="3" t="s">
        <v>30</v>
      </c>
      <c r="C136" s="3" t="s">
        <v>44</v>
      </c>
      <c r="D136" s="3" t="s">
        <v>32</v>
      </c>
      <c r="E136" s="3" t="s">
        <v>50</v>
      </c>
      <c r="F136" s="3" t="s">
        <v>51</v>
      </c>
      <c r="G136" s="4">
        <v>100.7736828700253</v>
      </c>
      <c r="H136" s="4">
        <v>135.93656454810099</v>
      </c>
      <c r="I136" s="4">
        <v>140.05048744758929</v>
      </c>
      <c r="J136" s="4">
        <v>7.7590690309210322</v>
      </c>
      <c r="K136" s="4">
        <v>7.6503324622517352</v>
      </c>
      <c r="L136" s="4">
        <v>6.5241941201578237</v>
      </c>
      <c r="M136" s="4">
        <v>17.371647792581371</v>
      </c>
      <c r="N136" s="4">
        <v>132.89888103038899</v>
      </c>
      <c r="O136" s="4">
        <v>2317.6606378380329</v>
      </c>
      <c r="P136" s="5">
        <v>2.9374570374328869E-2</v>
      </c>
      <c r="Q136" s="5">
        <v>0.97062542962567111</v>
      </c>
      <c r="R136" s="5">
        <v>4.1627420078384297E-2</v>
      </c>
      <c r="S136" s="5">
        <v>5.7958634565871822E-3</v>
      </c>
      <c r="T136" s="5">
        <v>0.95785491375299625</v>
      </c>
      <c r="U136" s="5">
        <v>0.9859055000253395</v>
      </c>
      <c r="V136" s="5">
        <v>1.3489292112448421</v>
      </c>
      <c r="W136" s="4">
        <v>1.022857103793203</v>
      </c>
      <c r="X136" s="6">
        <v>95609.024310706052</v>
      </c>
      <c r="Y136" s="6">
        <v>21076.331387626651</v>
      </c>
      <c r="Z136" s="6">
        <v>6307.4286130602404</v>
      </c>
      <c r="AA136" s="6">
        <v>128719.9468770293</v>
      </c>
      <c r="AB136" s="6">
        <v>946.9118724968356</v>
      </c>
      <c r="AC136" s="3" t="s">
        <v>184</v>
      </c>
      <c r="AD136" s="3" t="s">
        <v>41</v>
      </c>
    </row>
    <row r="137" spans="1:30">
      <c r="A137" s="2">
        <v>46057</v>
      </c>
      <c r="B137" s="3" t="s">
        <v>30</v>
      </c>
      <c r="C137" s="3" t="s">
        <v>63</v>
      </c>
      <c r="D137" s="3" t="s">
        <v>32</v>
      </c>
      <c r="E137" s="3" t="s">
        <v>33</v>
      </c>
      <c r="F137" s="3" t="s">
        <v>34</v>
      </c>
      <c r="G137" s="4">
        <v>125.81513936865259</v>
      </c>
      <c r="H137" s="4">
        <v>138.84518934183819</v>
      </c>
      <c r="I137" s="4">
        <v>148.52832036713141</v>
      </c>
      <c r="J137" s="4">
        <v>7.9099724336543442</v>
      </c>
      <c r="K137" s="4">
        <v>7.6434979373230414</v>
      </c>
      <c r="L137" s="4">
        <v>15.98846977987824</v>
      </c>
      <c r="M137" s="4">
        <v>11.368872808031449</v>
      </c>
      <c r="N137" s="4">
        <v>86.897955857876369</v>
      </c>
      <c r="O137" s="4">
        <v>2375.3385306517062</v>
      </c>
      <c r="P137" s="5">
        <v>6.5193836443841011E-2</v>
      </c>
      <c r="Q137" s="5">
        <v>0.93480616355615898</v>
      </c>
      <c r="R137" s="5">
        <v>8.6456550335855566E-3</v>
      </c>
      <c r="S137" s="5">
        <v>2.7615483904751149E-3</v>
      </c>
      <c r="T137" s="5">
        <v>0.8725151002154049</v>
      </c>
      <c r="U137" s="5">
        <v>0.88283277797990067</v>
      </c>
      <c r="V137" s="5">
        <v>1.1035650402532731</v>
      </c>
      <c r="W137" s="4">
        <v>1.5977958051041239</v>
      </c>
      <c r="X137" s="6">
        <v>93613.560383208809</v>
      </c>
      <c r="Y137" s="6">
        <v>13307.09085532344</v>
      </c>
      <c r="Z137" s="6">
        <v>5131.4182261628748</v>
      </c>
      <c r="AA137" s="6">
        <v>116265.0576298666</v>
      </c>
      <c r="AB137" s="6">
        <v>837.37188289340679</v>
      </c>
      <c r="AC137" s="3" t="s">
        <v>185</v>
      </c>
      <c r="AD137" s="3" t="s">
        <v>43</v>
      </c>
    </row>
    <row r="138" spans="1:30">
      <c r="A138" s="2">
        <v>46058</v>
      </c>
      <c r="B138" s="3" t="s">
        <v>30</v>
      </c>
      <c r="C138" s="3" t="s">
        <v>56</v>
      </c>
      <c r="D138" s="3" t="s">
        <v>32</v>
      </c>
      <c r="E138" s="3" t="s">
        <v>46</v>
      </c>
      <c r="F138" s="3" t="s">
        <v>47</v>
      </c>
      <c r="G138" s="4">
        <v>137.13757177648071</v>
      </c>
      <c r="H138" s="4">
        <v>120.5132631645011</v>
      </c>
      <c r="I138" s="4">
        <v>127.7316457612109</v>
      </c>
      <c r="J138" s="4">
        <v>8.4548104353380396</v>
      </c>
      <c r="K138" s="4">
        <v>8.3619010040471853</v>
      </c>
      <c r="L138" s="4">
        <v>5.5745658774512181</v>
      </c>
      <c r="M138" s="4">
        <v>14.665371583422919</v>
      </c>
      <c r="N138" s="4">
        <v>122.63038536814911</v>
      </c>
      <c r="O138" s="4">
        <v>1928.369632804714</v>
      </c>
      <c r="P138" s="5">
        <v>5.6512092627415841E-2</v>
      </c>
      <c r="Q138" s="5">
        <v>0.94348790737258414</v>
      </c>
      <c r="R138" s="5">
        <v>2.2931426215680568E-2</v>
      </c>
      <c r="S138" s="5">
        <v>2.585543849606254E-2</v>
      </c>
      <c r="T138" s="5">
        <v>0.68955875065083139</v>
      </c>
      <c r="U138" s="5">
        <v>0.58381361926330988</v>
      </c>
      <c r="V138" s="5">
        <v>0.87877641118602157</v>
      </c>
      <c r="W138" s="4">
        <v>0.98273574532696606</v>
      </c>
      <c r="X138" s="6">
        <v>82131.220833613042</v>
      </c>
      <c r="Y138" s="6">
        <v>18351.387569109069</v>
      </c>
      <c r="Z138" s="6">
        <v>5369.3996342219052</v>
      </c>
      <c r="AA138" s="6">
        <v>112751.81560686231</v>
      </c>
      <c r="AB138" s="6">
        <v>935.59673554731989</v>
      </c>
      <c r="AC138" s="3" t="s">
        <v>186</v>
      </c>
      <c r="AD138" s="3" t="s">
        <v>49</v>
      </c>
    </row>
    <row r="139" spans="1:30">
      <c r="A139" s="2">
        <v>46059</v>
      </c>
      <c r="B139" s="3" t="s">
        <v>30</v>
      </c>
      <c r="C139" s="3" t="s">
        <v>31</v>
      </c>
      <c r="D139" s="3" t="s">
        <v>45</v>
      </c>
      <c r="E139" s="3" t="s">
        <v>33</v>
      </c>
      <c r="F139" s="3" t="s">
        <v>34</v>
      </c>
      <c r="G139" s="4">
        <v>74.138247826761912</v>
      </c>
      <c r="H139" s="4">
        <v>119.066985770145</v>
      </c>
      <c r="I139" s="4">
        <v>128.9106948135971</v>
      </c>
      <c r="J139" s="4">
        <v>7.2489976047169851</v>
      </c>
      <c r="K139" s="4">
        <v>7.0809499672664167</v>
      </c>
      <c r="L139" s="4">
        <v>10.08285824703413</v>
      </c>
      <c r="M139" s="4">
        <v>16.527812378138929</v>
      </c>
      <c r="N139" s="4">
        <v>117.0326125179683</v>
      </c>
      <c r="O139" s="4">
        <v>2016.746251415175</v>
      </c>
      <c r="P139" s="5">
        <v>7.6360685648975468E-2</v>
      </c>
      <c r="Q139" s="5">
        <v>0.92363931435102442</v>
      </c>
      <c r="R139" s="5">
        <v>1.9645761721953221E-2</v>
      </c>
      <c r="S139" s="5">
        <v>1.0714244204115269E-2</v>
      </c>
      <c r="T139" s="5">
        <v>0.7677604657154673</v>
      </c>
      <c r="U139" s="5">
        <v>0.77902316091696144</v>
      </c>
      <c r="V139" s="5">
        <v>1.606012945549611</v>
      </c>
      <c r="W139" s="4">
        <v>1.0173829602570339</v>
      </c>
      <c r="X139" s="6">
        <v>111507.2177333147</v>
      </c>
      <c r="Y139" s="6">
        <v>21918.571472351301</v>
      </c>
      <c r="Z139" s="6">
        <v>5290.0398123165751</v>
      </c>
      <c r="AA139" s="6">
        <v>144028.14983084559</v>
      </c>
      <c r="AB139" s="6">
        <v>1209.6396738293799</v>
      </c>
      <c r="AC139" s="3" t="s">
        <v>187</v>
      </c>
      <c r="AD139" s="3" t="s">
        <v>49</v>
      </c>
    </row>
    <row r="140" spans="1:30">
      <c r="A140" s="2">
        <v>46060</v>
      </c>
      <c r="B140" s="3" t="s">
        <v>30</v>
      </c>
      <c r="C140" s="3" t="s">
        <v>44</v>
      </c>
      <c r="D140" s="3" t="s">
        <v>32</v>
      </c>
      <c r="E140" s="3" t="s">
        <v>33</v>
      </c>
      <c r="F140" s="3" t="s">
        <v>34</v>
      </c>
      <c r="G140" s="4">
        <v>61.826155893830119</v>
      </c>
      <c r="H140" s="4">
        <v>90.287708994582076</v>
      </c>
      <c r="I140" s="4">
        <v>95.310419380221774</v>
      </c>
      <c r="J140" s="4">
        <v>7.8384811183008232</v>
      </c>
      <c r="K140" s="4">
        <v>7.7918037648284164</v>
      </c>
      <c r="L140" s="4">
        <v>2.8006412083443881</v>
      </c>
      <c r="M140" s="4">
        <v>18.30772002208284</v>
      </c>
      <c r="N140" s="4">
        <v>142.65016179348959</v>
      </c>
      <c r="O140" s="4">
        <v>1921.3168698770089</v>
      </c>
      <c r="P140" s="5">
        <v>5.2698439670091093E-2</v>
      </c>
      <c r="Q140" s="5">
        <v>0.94730156032990886</v>
      </c>
      <c r="R140" s="5">
        <v>6.9387305036626469E-3</v>
      </c>
      <c r="S140" s="5">
        <v>2.4372925249052529E-2</v>
      </c>
      <c r="T140" s="5">
        <v>0.7788143304692664</v>
      </c>
      <c r="U140" s="5">
        <v>0.79307300424049565</v>
      </c>
      <c r="V140" s="5">
        <v>1.4603480952240839</v>
      </c>
      <c r="W140" s="4">
        <v>0.63293099607758507</v>
      </c>
      <c r="X140" s="6">
        <v>70430.111671823426</v>
      </c>
      <c r="Y140" s="6">
        <v>25796.087962017638</v>
      </c>
      <c r="Z140" s="6">
        <v>5208.9950210323423</v>
      </c>
      <c r="AA140" s="6">
        <v>105496.4130771245</v>
      </c>
      <c r="AB140" s="6">
        <v>1168.4471148055709</v>
      </c>
      <c r="AC140" s="3" t="s">
        <v>188</v>
      </c>
      <c r="AD140" s="3" t="s">
        <v>36</v>
      </c>
    </row>
    <row r="141" spans="1:30">
      <c r="A141" s="2">
        <v>46061</v>
      </c>
      <c r="B141" s="3" t="s">
        <v>30</v>
      </c>
      <c r="C141" s="3" t="s">
        <v>56</v>
      </c>
      <c r="D141" s="3" t="s">
        <v>32</v>
      </c>
      <c r="E141" s="3" t="s">
        <v>38</v>
      </c>
      <c r="F141" s="3" t="s">
        <v>39</v>
      </c>
      <c r="G141" s="4">
        <v>113.9436667517017</v>
      </c>
      <c r="H141" s="4">
        <v>141.61613747835551</v>
      </c>
      <c r="I141" s="4">
        <v>149.37398978215279</v>
      </c>
      <c r="J141" s="4">
        <v>8.3421430808158199</v>
      </c>
      <c r="K141" s="4">
        <v>8.186858422988518</v>
      </c>
      <c r="L141" s="4">
        <v>9.3170794696381378</v>
      </c>
      <c r="M141" s="4">
        <v>16.69758820429848</v>
      </c>
      <c r="N141" s="4">
        <v>136.70079063395471</v>
      </c>
      <c r="O141" s="4">
        <v>2359.2479493326732</v>
      </c>
      <c r="P141" s="5">
        <v>5.1935764152188417E-2</v>
      </c>
      <c r="Q141" s="5">
        <v>0.94806423584781152</v>
      </c>
      <c r="R141" s="5">
        <v>2.9488713580401209E-2</v>
      </c>
      <c r="S141" s="5">
        <v>1.6481688305149209E-2</v>
      </c>
      <c r="T141" s="5">
        <v>0.94682153093486021</v>
      </c>
      <c r="U141" s="5">
        <v>0.95957631617469985</v>
      </c>
      <c r="V141" s="5">
        <v>1.242860981356303</v>
      </c>
      <c r="W141" s="4">
        <v>1.035956974510577</v>
      </c>
      <c r="X141" s="6">
        <v>94099.442019624417</v>
      </c>
      <c r="Y141" s="6">
        <v>25886.484397115531</v>
      </c>
      <c r="Z141" s="6">
        <v>6138.6880330874574</v>
      </c>
      <c r="AA141" s="6">
        <v>132607.7382394154</v>
      </c>
      <c r="AB141" s="6">
        <v>936.38861079432434</v>
      </c>
      <c r="AC141" s="3" t="s">
        <v>189</v>
      </c>
      <c r="AD141" s="3" t="s">
        <v>43</v>
      </c>
    </row>
    <row r="142" spans="1:30">
      <c r="A142" s="2">
        <v>46062</v>
      </c>
      <c r="B142" s="3" t="s">
        <v>30</v>
      </c>
      <c r="C142" s="3" t="s">
        <v>56</v>
      </c>
      <c r="D142" s="3" t="s">
        <v>45</v>
      </c>
      <c r="E142" s="3" t="s">
        <v>50</v>
      </c>
      <c r="F142" s="3" t="s">
        <v>51</v>
      </c>
      <c r="G142" s="4">
        <v>73.439952355046159</v>
      </c>
      <c r="H142" s="4">
        <v>85.961154512481656</v>
      </c>
      <c r="I142" s="4">
        <v>89.1623214747394</v>
      </c>
      <c r="J142" s="4">
        <v>8.252663672425939</v>
      </c>
      <c r="K142" s="4">
        <v>8.0731613206127424</v>
      </c>
      <c r="L142" s="4">
        <v>10.770141108791821</v>
      </c>
      <c r="M142" s="4">
        <v>19.22398308080373</v>
      </c>
      <c r="N142" s="4">
        <v>155.19831663605851</v>
      </c>
      <c r="O142" s="4">
        <v>1693.5240338488979</v>
      </c>
      <c r="P142" s="5">
        <v>3.5902687472809523E-2</v>
      </c>
      <c r="Q142" s="5">
        <v>0.96409731252719044</v>
      </c>
      <c r="R142" s="5">
        <v>2.7254375978733959E-2</v>
      </c>
      <c r="S142" s="5">
        <v>1.7581191190492531E-2</v>
      </c>
      <c r="T142" s="5">
        <v>0.58422851224849359</v>
      </c>
      <c r="U142" s="5">
        <v>0.58954668312322367</v>
      </c>
      <c r="V142" s="5">
        <v>1.170495782689259</v>
      </c>
      <c r="W142" s="4">
        <v>0.55387942585782934</v>
      </c>
      <c r="X142" s="6">
        <v>57275.065367723662</v>
      </c>
      <c r="Y142" s="6">
        <v>24729.784674772931</v>
      </c>
      <c r="Z142" s="6">
        <v>4477.1412484688917</v>
      </c>
      <c r="AA142" s="6">
        <v>91861.535749345057</v>
      </c>
      <c r="AB142" s="6">
        <v>1068.6400883088029</v>
      </c>
      <c r="AC142" s="3" t="s">
        <v>190</v>
      </c>
      <c r="AD142" s="3" t="s">
        <v>49</v>
      </c>
    </row>
    <row r="143" spans="1:30">
      <c r="A143" s="2">
        <v>46063</v>
      </c>
      <c r="B143" s="3" t="s">
        <v>30</v>
      </c>
      <c r="C143" s="3" t="s">
        <v>63</v>
      </c>
      <c r="D143" s="3" t="s">
        <v>37</v>
      </c>
      <c r="E143" s="3" t="s">
        <v>46</v>
      </c>
      <c r="F143" s="3" t="s">
        <v>47</v>
      </c>
      <c r="G143" s="4">
        <v>144.32785968158751</v>
      </c>
      <c r="H143" s="4">
        <v>101.97493943455</v>
      </c>
      <c r="I143" s="4">
        <v>107.988631312473</v>
      </c>
      <c r="J143" s="4">
        <v>7.807471337455155</v>
      </c>
      <c r="K143" s="4">
        <v>7.4626632510400217</v>
      </c>
      <c r="L143" s="4">
        <v>20.688485184908</v>
      </c>
      <c r="M143" s="4">
        <v>15.78463753217383</v>
      </c>
      <c r="N143" s="4">
        <v>117.79543444234071</v>
      </c>
      <c r="O143" s="4">
        <v>2016.269306978154</v>
      </c>
      <c r="P143" s="5">
        <v>5.5688194255577597E-2</v>
      </c>
      <c r="Q143" s="5">
        <v>0.94431180574442242</v>
      </c>
      <c r="R143" s="5">
        <v>3.1027951563162012E-2</v>
      </c>
      <c r="S143" s="5">
        <v>2.1004244299122569E-2</v>
      </c>
      <c r="T143" s="5">
        <v>0.72002717516862158</v>
      </c>
      <c r="U143" s="5">
        <v>0.47605422927271918</v>
      </c>
      <c r="V143" s="5">
        <v>0.70655062480330921</v>
      </c>
      <c r="W143" s="4">
        <v>0.86569517670453877</v>
      </c>
      <c r="X143" s="6">
        <v>73574.727840184059</v>
      </c>
      <c r="Y143" s="6">
        <v>20485.342997901022</v>
      </c>
      <c r="Z143" s="6">
        <v>5238.1070423796746</v>
      </c>
      <c r="AA143" s="6">
        <v>102890.2563743315</v>
      </c>
      <c r="AB143" s="6">
        <v>1008.975900793439</v>
      </c>
      <c r="AC143" s="3" t="s">
        <v>191</v>
      </c>
      <c r="AD143" s="3" t="s">
        <v>36</v>
      </c>
    </row>
    <row r="144" spans="1:30">
      <c r="A144" s="2">
        <v>46064</v>
      </c>
      <c r="B144" s="3" t="s">
        <v>30</v>
      </c>
      <c r="C144" s="3" t="s">
        <v>63</v>
      </c>
      <c r="D144" s="3" t="s">
        <v>45</v>
      </c>
      <c r="E144" s="3" t="s">
        <v>38</v>
      </c>
      <c r="F144" s="3" t="s">
        <v>39</v>
      </c>
      <c r="G144" s="4">
        <v>118.7204065814289</v>
      </c>
      <c r="H144" s="4">
        <v>108.3410196308112</v>
      </c>
      <c r="I144" s="4">
        <v>112.0115133911394</v>
      </c>
      <c r="J144" s="4">
        <v>8.0676590820686016</v>
      </c>
      <c r="K144" s="4">
        <v>7.3379472681849487</v>
      </c>
      <c r="L144" s="4">
        <v>43.782708833019171</v>
      </c>
      <c r="M144" s="4">
        <v>18.658720491395961</v>
      </c>
      <c r="N144" s="4">
        <v>136.91670705766549</v>
      </c>
      <c r="O144" s="4">
        <v>2081.662226855738</v>
      </c>
      <c r="P144" s="5">
        <v>3.2768897135698943E-2</v>
      </c>
      <c r="Q144" s="5">
        <v>0.96723110286430103</v>
      </c>
      <c r="R144" s="5">
        <v>3.5416466006972569E-2</v>
      </c>
      <c r="S144" s="5">
        <v>1E-3</v>
      </c>
      <c r="T144" s="5">
        <v>0.78236971721769788</v>
      </c>
      <c r="U144" s="5">
        <v>0.64874214483944204</v>
      </c>
      <c r="V144" s="5">
        <v>0.91257284868293809</v>
      </c>
      <c r="W144" s="4">
        <v>0.79129144980956168</v>
      </c>
      <c r="X144" s="6">
        <v>69729.360780420204</v>
      </c>
      <c r="Y144" s="6">
        <v>22756.10847932017</v>
      </c>
      <c r="Z144" s="6">
        <v>4311.8259699648697</v>
      </c>
      <c r="AA144" s="6">
        <v>100292.4336088432</v>
      </c>
      <c r="AB144" s="6">
        <v>925.7106306605308</v>
      </c>
      <c r="AC144" s="3" t="s">
        <v>192</v>
      </c>
      <c r="AD144" s="3" t="s">
        <v>36</v>
      </c>
    </row>
    <row r="145" spans="1:30">
      <c r="A145" s="2">
        <v>46065</v>
      </c>
      <c r="B145" s="3" t="s">
        <v>30</v>
      </c>
      <c r="C145" s="3" t="s">
        <v>56</v>
      </c>
      <c r="D145" s="3" t="s">
        <v>45</v>
      </c>
      <c r="E145" s="3" t="s">
        <v>50</v>
      </c>
      <c r="F145" s="3" t="s">
        <v>51</v>
      </c>
      <c r="G145" s="4">
        <v>121.37646916751341</v>
      </c>
      <c r="H145" s="4">
        <v>71.182839943764534</v>
      </c>
      <c r="I145" s="4">
        <v>76.280004223595725</v>
      </c>
      <c r="J145" s="4">
        <v>7.2159815625242816</v>
      </c>
      <c r="K145" s="4">
        <v>6.9272261386441514</v>
      </c>
      <c r="L145" s="4">
        <v>17.325325432807841</v>
      </c>
      <c r="M145" s="4">
        <v>18.471871365805889</v>
      </c>
      <c r="N145" s="4">
        <v>127.958830154883</v>
      </c>
      <c r="O145" s="4">
        <v>1481.81124112778</v>
      </c>
      <c r="P145" s="5">
        <v>6.6821761898309864E-2</v>
      </c>
      <c r="Q145" s="5">
        <v>0.93317823810169009</v>
      </c>
      <c r="R145" s="5">
        <v>2.8651332797068871E-2</v>
      </c>
      <c r="S145" s="5">
        <v>2.400915514161172E-2</v>
      </c>
      <c r="T145" s="5">
        <v>0.76382032351205265</v>
      </c>
      <c r="U145" s="5">
        <v>0.41970265372177851</v>
      </c>
      <c r="V145" s="5">
        <v>0.58646326122342607</v>
      </c>
      <c r="W145" s="4">
        <v>0.55629486341508372</v>
      </c>
      <c r="X145" s="6">
        <v>53985.943593645577</v>
      </c>
      <c r="Y145" s="6">
        <v>19990.98113240665</v>
      </c>
      <c r="Z145" s="6">
        <v>3995.969446612628</v>
      </c>
      <c r="AA145" s="6">
        <v>82502.371020928389</v>
      </c>
      <c r="AB145" s="6">
        <v>1159.0205039038401</v>
      </c>
      <c r="AC145" s="3" t="s">
        <v>193</v>
      </c>
      <c r="AD145" s="3" t="s">
        <v>49</v>
      </c>
    </row>
    <row r="146" spans="1:30">
      <c r="A146" s="2">
        <v>46066</v>
      </c>
      <c r="B146" s="3" t="s">
        <v>30</v>
      </c>
      <c r="C146" s="3" t="s">
        <v>44</v>
      </c>
      <c r="D146" s="3" t="s">
        <v>32</v>
      </c>
      <c r="E146" s="3" t="s">
        <v>46</v>
      </c>
      <c r="F146" s="3" t="s">
        <v>47</v>
      </c>
      <c r="G146" s="4">
        <v>82.100331602673563</v>
      </c>
      <c r="H146" s="4">
        <v>126.5050325523999</v>
      </c>
      <c r="I146" s="4">
        <v>132.5305941497445</v>
      </c>
      <c r="J146" s="4">
        <v>7.5129692011665403</v>
      </c>
      <c r="K146" s="4">
        <v>7.3975253333277102</v>
      </c>
      <c r="L146" s="4">
        <v>6.9266320703298314</v>
      </c>
      <c r="M146" s="4">
        <v>20.354760959601968</v>
      </c>
      <c r="N146" s="4">
        <v>150.57485985248539</v>
      </c>
      <c r="O146" s="4">
        <v>2240.7236262953738</v>
      </c>
      <c r="P146" s="5">
        <v>4.5465438648350037E-2</v>
      </c>
      <c r="Q146" s="5">
        <v>0.95453456135164982</v>
      </c>
      <c r="R146" s="5">
        <v>3.4028902096439509E-2</v>
      </c>
      <c r="S146" s="5">
        <v>8.8367924238771101E-3</v>
      </c>
      <c r="T146" s="5">
        <v>0.81491834425610699</v>
      </c>
      <c r="U146" s="5">
        <v>0.83507103138439365</v>
      </c>
      <c r="V146" s="5">
        <v>1.540858971978627</v>
      </c>
      <c r="W146" s="4">
        <v>0.84014710474466903</v>
      </c>
      <c r="X146" s="6">
        <v>106384.6589738092</v>
      </c>
      <c r="Y146" s="6">
        <v>25889.591443518359</v>
      </c>
      <c r="Z146" s="6">
        <v>5378.5146781786043</v>
      </c>
      <c r="AA146" s="6">
        <v>141494.4613917706</v>
      </c>
      <c r="AB146" s="6">
        <v>1118.4887947691871</v>
      </c>
      <c r="AC146" s="3" t="s">
        <v>194</v>
      </c>
      <c r="AD146" s="3" t="s">
        <v>41</v>
      </c>
    </row>
    <row r="147" spans="1:30">
      <c r="A147" s="2">
        <v>46067</v>
      </c>
      <c r="B147" s="3" t="s">
        <v>30</v>
      </c>
      <c r="C147" s="3" t="s">
        <v>31</v>
      </c>
      <c r="D147" s="3" t="s">
        <v>37</v>
      </c>
      <c r="E147" s="3" t="s">
        <v>50</v>
      </c>
      <c r="F147" s="3" t="s">
        <v>51</v>
      </c>
      <c r="G147" s="4">
        <v>120.3004454261109</v>
      </c>
      <c r="H147" s="4">
        <v>140.4371128375515</v>
      </c>
      <c r="I147" s="4">
        <v>150.0889178993697</v>
      </c>
      <c r="J147" s="4">
        <v>8.3954071131961694</v>
      </c>
      <c r="K147" s="4">
        <v>8.221969498140993</v>
      </c>
      <c r="L147" s="4">
        <v>10.4062569033106</v>
      </c>
      <c r="M147" s="4">
        <v>16.51974527608435</v>
      </c>
      <c r="N147" s="4">
        <v>135.82484177702429</v>
      </c>
      <c r="O147" s="4">
        <v>2276.880278382986</v>
      </c>
      <c r="P147" s="5">
        <v>6.4307246643549781E-2</v>
      </c>
      <c r="Q147" s="5">
        <v>0.93569275335645019</v>
      </c>
      <c r="R147" s="5">
        <v>3.1780760740427988E-2</v>
      </c>
      <c r="S147" s="5">
        <v>1.9215761353806829E-2</v>
      </c>
      <c r="T147" s="5">
        <v>0.83648243302372993</v>
      </c>
      <c r="U147" s="5">
        <v>0.84363327728793369</v>
      </c>
      <c r="V147" s="5">
        <v>1.1673864742571429</v>
      </c>
      <c r="W147" s="4">
        <v>1.0339574926072721</v>
      </c>
      <c r="X147" s="6">
        <v>122643.8388621984</v>
      </c>
      <c r="Y147" s="6">
        <v>24895.048104682759</v>
      </c>
      <c r="Z147" s="6">
        <v>6224.2904623904305</v>
      </c>
      <c r="AA147" s="6">
        <v>158188.41133877001</v>
      </c>
      <c r="AB147" s="6">
        <v>1126.400337792134</v>
      </c>
      <c r="AC147" s="3" t="s">
        <v>195</v>
      </c>
      <c r="AD147" s="3" t="s">
        <v>36</v>
      </c>
    </row>
    <row r="148" spans="1:30">
      <c r="A148" s="2">
        <v>46068</v>
      </c>
      <c r="B148" s="3" t="s">
        <v>30</v>
      </c>
      <c r="C148" s="3" t="s">
        <v>63</v>
      </c>
      <c r="D148" s="3" t="s">
        <v>37</v>
      </c>
      <c r="E148" s="3" t="s">
        <v>50</v>
      </c>
      <c r="F148" s="3" t="s">
        <v>51</v>
      </c>
      <c r="G148" s="4">
        <v>62.755462498932069</v>
      </c>
      <c r="H148" s="4">
        <v>126.1310439435823</v>
      </c>
      <c r="I148" s="4">
        <v>133.85705816188769</v>
      </c>
      <c r="J148" s="4">
        <v>7.4223244027788953</v>
      </c>
      <c r="K148" s="4">
        <v>7.1956311064955436</v>
      </c>
      <c r="L148" s="4">
        <v>13.601597777001119</v>
      </c>
      <c r="M148" s="4">
        <v>17.226111025010891</v>
      </c>
      <c r="N148" s="4">
        <v>123.95274033551421</v>
      </c>
      <c r="O148" s="4">
        <v>2063.2401980889672</v>
      </c>
      <c r="P148" s="5">
        <v>5.7718392473271977E-2</v>
      </c>
      <c r="Q148" s="5">
        <v>0.94228160752672807</v>
      </c>
      <c r="R148" s="5">
        <v>2.1477590469815781E-2</v>
      </c>
      <c r="S148" s="5">
        <v>1.6433970267868591E-2</v>
      </c>
      <c r="T148" s="5">
        <v>0.84394533983199638</v>
      </c>
      <c r="U148" s="5">
        <v>0.84495989835465601</v>
      </c>
      <c r="V148" s="5">
        <v>2.0098815134336498</v>
      </c>
      <c r="W148" s="4">
        <v>1.017573662366575</v>
      </c>
      <c r="X148" s="6">
        <v>114497.35882016949</v>
      </c>
      <c r="Y148" s="6">
        <v>19136.690949207179</v>
      </c>
      <c r="Z148" s="6">
        <v>5205.6807723819102</v>
      </c>
      <c r="AA148" s="6">
        <v>144967.90324615271</v>
      </c>
      <c r="AB148" s="6">
        <v>1149.3435613757069</v>
      </c>
      <c r="AC148" s="3" t="s">
        <v>196</v>
      </c>
      <c r="AD148" s="3" t="s">
        <v>43</v>
      </c>
    </row>
    <row r="149" spans="1:30">
      <c r="A149" s="2">
        <v>46069</v>
      </c>
      <c r="B149" s="3" t="s">
        <v>30</v>
      </c>
      <c r="C149" s="3" t="s">
        <v>56</v>
      </c>
      <c r="D149" s="3" t="s">
        <v>45</v>
      </c>
      <c r="E149" s="3" t="s">
        <v>33</v>
      </c>
      <c r="F149" s="3" t="s">
        <v>34</v>
      </c>
      <c r="G149" s="4">
        <v>98.454195314305821</v>
      </c>
      <c r="H149" s="4">
        <v>111.5512652705512</v>
      </c>
      <c r="I149" s="4">
        <v>117.228119178575</v>
      </c>
      <c r="J149" s="4">
        <v>8.0692688831861492</v>
      </c>
      <c r="K149" s="4">
        <v>7.7558304507412261</v>
      </c>
      <c r="L149" s="4">
        <v>18.806305946695399</v>
      </c>
      <c r="M149" s="4">
        <v>12.85186069481064</v>
      </c>
      <c r="N149" s="4">
        <v>99.67685252549667</v>
      </c>
      <c r="O149" s="4">
        <v>2097.7529652722351</v>
      </c>
      <c r="P149" s="5">
        <v>4.8425701510882352E-2</v>
      </c>
      <c r="Q149" s="5">
        <v>0.95157429848911768</v>
      </c>
      <c r="R149" s="5">
        <v>2.441710643026487E-2</v>
      </c>
      <c r="S149" s="5">
        <v>1.5041029787217341E-2</v>
      </c>
      <c r="T149" s="5">
        <v>0.85712664575490627</v>
      </c>
      <c r="U149" s="5">
        <v>0.85201365357086689</v>
      </c>
      <c r="V149" s="5">
        <v>1.133027037745159</v>
      </c>
      <c r="W149" s="4">
        <v>1.1191290900965909</v>
      </c>
      <c r="X149" s="6">
        <v>95629.313627058786</v>
      </c>
      <c r="Y149" s="6">
        <v>18453.294710729209</v>
      </c>
      <c r="Z149" s="6">
        <v>4746.329693642474</v>
      </c>
      <c r="AA149" s="6">
        <v>125716.18361193439</v>
      </c>
      <c r="AB149" s="6">
        <v>1126.9812431712739</v>
      </c>
      <c r="AC149" s="3" t="s">
        <v>197</v>
      </c>
      <c r="AD149" s="3" t="s">
        <v>49</v>
      </c>
    </row>
    <row r="150" spans="1:30">
      <c r="A150" s="2">
        <v>46070</v>
      </c>
      <c r="B150" s="3" t="s">
        <v>30</v>
      </c>
      <c r="C150" s="3" t="s">
        <v>56</v>
      </c>
      <c r="D150" s="3" t="s">
        <v>45</v>
      </c>
      <c r="E150" s="3" t="s">
        <v>50</v>
      </c>
      <c r="F150" s="3" t="s">
        <v>51</v>
      </c>
      <c r="G150" s="4">
        <v>144.41801492512721</v>
      </c>
      <c r="H150" s="4">
        <v>139.34563026989909</v>
      </c>
      <c r="I150" s="4">
        <v>145.17576726441479</v>
      </c>
      <c r="J150" s="4">
        <v>7.7717999829128548</v>
      </c>
      <c r="K150" s="4">
        <v>7.6239740857628799</v>
      </c>
      <c r="L150" s="4">
        <v>8.8695538289985105</v>
      </c>
      <c r="M150" s="4">
        <v>19.0334198392902</v>
      </c>
      <c r="N150" s="4">
        <v>145.11029961819361</v>
      </c>
      <c r="O150" s="4">
        <v>2243.6431237805809</v>
      </c>
      <c r="P150" s="5">
        <v>4.015916088734698E-2</v>
      </c>
      <c r="Q150" s="5">
        <v>0.95984083911265305</v>
      </c>
      <c r="R150" s="5">
        <v>8.6443855888876479E-3</v>
      </c>
      <c r="S150" s="5">
        <v>1.225272087662428E-2</v>
      </c>
      <c r="T150" s="5">
        <v>0.95739297504955689</v>
      </c>
      <c r="U150" s="5">
        <v>0.89509237615259696</v>
      </c>
      <c r="V150" s="5">
        <v>0.96487706427859499</v>
      </c>
      <c r="W150" s="4">
        <v>0.96027387881175796</v>
      </c>
      <c r="X150" s="6">
        <v>94872.368823408993</v>
      </c>
      <c r="Y150" s="6">
        <v>22985.127547835989</v>
      </c>
      <c r="Z150" s="6">
        <v>5358.9810096343826</v>
      </c>
      <c r="AA150" s="6">
        <v>127722.5085146593</v>
      </c>
      <c r="AB150" s="6">
        <v>916.58782745661301</v>
      </c>
      <c r="AC150" s="3" t="s">
        <v>198</v>
      </c>
      <c r="AD150" s="3" t="s">
        <v>36</v>
      </c>
    </row>
    <row r="151" spans="1:30">
      <c r="A151" s="2">
        <v>46071</v>
      </c>
      <c r="B151" s="3" t="s">
        <v>30</v>
      </c>
      <c r="C151" s="3" t="s">
        <v>63</v>
      </c>
      <c r="D151" s="3" t="s">
        <v>32</v>
      </c>
      <c r="E151" s="3" t="s">
        <v>33</v>
      </c>
      <c r="F151" s="3" t="s">
        <v>34</v>
      </c>
      <c r="G151" s="4">
        <v>87.36018656653863</v>
      </c>
      <c r="H151" s="4">
        <v>85.765826129785481</v>
      </c>
      <c r="I151" s="4">
        <v>90.737386745549003</v>
      </c>
      <c r="J151" s="4">
        <v>7.773702796001837</v>
      </c>
      <c r="K151" s="4">
        <v>7.4673019701729153</v>
      </c>
      <c r="L151" s="4">
        <v>18.384049549735298</v>
      </c>
      <c r="M151" s="4">
        <v>14.386481902337451</v>
      </c>
      <c r="N151" s="4">
        <v>107.4282046531814</v>
      </c>
      <c r="O151" s="4">
        <v>1659.8711278253229</v>
      </c>
      <c r="P151" s="5">
        <v>5.4790652387918852E-2</v>
      </c>
      <c r="Q151" s="5">
        <v>0.9452093476120812</v>
      </c>
      <c r="R151" s="5">
        <v>4.4472545637998802E-2</v>
      </c>
      <c r="S151" s="5">
        <v>3.8098875146869819E-3</v>
      </c>
      <c r="T151" s="5">
        <v>0.67588217509100212</v>
      </c>
      <c r="U151" s="5">
        <v>0.63496490738158373</v>
      </c>
      <c r="V151" s="5">
        <v>0.98174957610079283</v>
      </c>
      <c r="W151" s="4">
        <v>0.79835483062078327</v>
      </c>
      <c r="X151" s="6">
        <v>59957.600342346239</v>
      </c>
      <c r="Y151" s="6">
        <v>19661.266433657362</v>
      </c>
      <c r="Z151" s="6">
        <v>4484.1950036514309</v>
      </c>
      <c r="AA151" s="6">
        <v>89922.01026828817</v>
      </c>
      <c r="AB151" s="6">
        <v>1048.459675911165</v>
      </c>
      <c r="AC151" s="3" t="s">
        <v>199</v>
      </c>
      <c r="AD151" s="3" t="s">
        <v>43</v>
      </c>
    </row>
    <row r="152" spans="1:30">
      <c r="A152" s="2">
        <v>46072</v>
      </c>
      <c r="B152" s="3" t="s">
        <v>30</v>
      </c>
      <c r="C152" s="3" t="s">
        <v>31</v>
      </c>
      <c r="D152" s="3" t="s">
        <v>32</v>
      </c>
      <c r="E152" s="3" t="s">
        <v>33</v>
      </c>
      <c r="F152" s="3" t="s">
        <v>34</v>
      </c>
      <c r="G152" s="4">
        <v>138.9301649527732</v>
      </c>
      <c r="H152" s="4">
        <v>110.15307290472261</v>
      </c>
      <c r="I152" s="4">
        <v>120.5712444512495</v>
      </c>
      <c r="J152" s="4">
        <v>7.3897364141835906</v>
      </c>
      <c r="K152" s="4">
        <v>7.1105818603157456</v>
      </c>
      <c r="L152" s="4">
        <v>16.749273232070681</v>
      </c>
      <c r="M152" s="4">
        <v>13.97049730266486</v>
      </c>
      <c r="N152" s="4">
        <v>99.338364699918813</v>
      </c>
      <c r="O152" s="4">
        <v>1850.2408133381559</v>
      </c>
      <c r="P152" s="5">
        <v>8.6406767997980458E-2</v>
      </c>
      <c r="Q152" s="5">
        <v>0.91359323200201958</v>
      </c>
      <c r="R152" s="5">
        <v>2.8093345570536839E-2</v>
      </c>
      <c r="S152" s="5">
        <v>1.376723695753109E-2</v>
      </c>
      <c r="T152" s="5">
        <v>0.76985381585174972</v>
      </c>
      <c r="U152" s="5">
        <v>0.57924721063478002</v>
      </c>
      <c r="V152" s="5">
        <v>0.7928664947757541</v>
      </c>
      <c r="W152" s="4">
        <v>1.1088673871114429</v>
      </c>
      <c r="X152" s="6">
        <v>106078.3464312267</v>
      </c>
      <c r="Y152" s="6">
        <v>18088.063959367919</v>
      </c>
      <c r="Z152" s="6">
        <v>4715.5428649657242</v>
      </c>
      <c r="AA152" s="6">
        <v>134755.08947479719</v>
      </c>
      <c r="AB152" s="6">
        <v>1223.343897009157</v>
      </c>
      <c r="AC152" s="3" t="s">
        <v>200</v>
      </c>
      <c r="AD152" s="3" t="s">
        <v>36</v>
      </c>
    </row>
    <row r="153" spans="1:30">
      <c r="A153" s="2">
        <v>46073</v>
      </c>
      <c r="B153" s="3" t="s">
        <v>30</v>
      </c>
      <c r="C153" s="3" t="s">
        <v>56</v>
      </c>
      <c r="D153" s="3" t="s">
        <v>32</v>
      </c>
      <c r="E153" s="3" t="s">
        <v>46</v>
      </c>
      <c r="F153" s="3" t="s">
        <v>47</v>
      </c>
      <c r="G153" s="4">
        <v>103.8309307118858</v>
      </c>
      <c r="H153" s="4">
        <v>63.633337623834393</v>
      </c>
      <c r="I153" s="4">
        <v>68.105828302683861</v>
      </c>
      <c r="J153" s="4">
        <v>8.4244198002912398</v>
      </c>
      <c r="K153" s="4">
        <v>8.2149507075030037</v>
      </c>
      <c r="L153" s="4">
        <v>12.56814556729419</v>
      </c>
      <c r="M153" s="4">
        <v>17.15827408655872</v>
      </c>
      <c r="N153" s="4">
        <v>140.954375846906</v>
      </c>
      <c r="O153" s="4">
        <v>1482.22458409197</v>
      </c>
      <c r="P153" s="5">
        <v>6.5669720056443656E-2</v>
      </c>
      <c r="Q153" s="5">
        <v>0.93433027994355633</v>
      </c>
      <c r="R153" s="5">
        <v>4.1897480173694636E-3</v>
      </c>
      <c r="S153" s="5">
        <v>6.398846703051961E-3</v>
      </c>
      <c r="T153" s="5">
        <v>0.72348227981078128</v>
      </c>
      <c r="U153" s="5">
        <v>0.42959864518466961</v>
      </c>
      <c r="V153" s="5">
        <v>0.61285531380246117</v>
      </c>
      <c r="W153" s="4">
        <v>0.45144634383644888</v>
      </c>
      <c r="X153" s="6">
        <v>53642.026214561723</v>
      </c>
      <c r="Y153" s="6">
        <v>26360.463826410039</v>
      </c>
      <c r="Z153" s="6">
        <v>3308.3572260491851</v>
      </c>
      <c r="AA153" s="6">
        <v>87031.31664697935</v>
      </c>
      <c r="AB153" s="6">
        <v>1367.7000122398269</v>
      </c>
      <c r="AC153" s="3" t="s">
        <v>201</v>
      </c>
      <c r="AD153" s="3" t="s">
        <v>36</v>
      </c>
    </row>
    <row r="154" spans="1:30">
      <c r="A154" s="2">
        <v>46074</v>
      </c>
      <c r="B154" s="3" t="s">
        <v>30</v>
      </c>
      <c r="C154" s="3" t="s">
        <v>56</v>
      </c>
      <c r="D154" s="3" t="s">
        <v>32</v>
      </c>
      <c r="E154" s="3" t="s">
        <v>50</v>
      </c>
      <c r="F154" s="3" t="s">
        <v>51</v>
      </c>
      <c r="G154" s="4">
        <v>77.314499919100427</v>
      </c>
      <c r="H154" s="4">
        <v>97.598296995192896</v>
      </c>
      <c r="I154" s="4">
        <v>99.612903880928471</v>
      </c>
      <c r="J154" s="4">
        <v>8.4773378213157784</v>
      </c>
      <c r="K154" s="4">
        <v>8.0205514549421846</v>
      </c>
      <c r="L154" s="4">
        <v>27.407181982415679</v>
      </c>
      <c r="M154" s="4">
        <v>14.923612379470381</v>
      </c>
      <c r="N154" s="4">
        <v>119.69560098315441</v>
      </c>
      <c r="O154" s="4">
        <v>1839.5459353959709</v>
      </c>
      <c r="P154" s="5">
        <v>2.0224356556693902E-2</v>
      </c>
      <c r="Q154" s="5">
        <v>0.97977564344330614</v>
      </c>
      <c r="R154" s="5">
        <v>3.4348749786026291E-2</v>
      </c>
      <c r="S154" s="5">
        <v>1.5979023546439802E-2</v>
      </c>
      <c r="T154" s="5">
        <v>0.75940586980898539</v>
      </c>
      <c r="U154" s="5">
        <v>0.74235620749420372</v>
      </c>
      <c r="V154" s="5">
        <v>1.262354372042978</v>
      </c>
      <c r="W154" s="4">
        <v>0.81538750124099046</v>
      </c>
      <c r="X154" s="6">
        <v>82148.284037353282</v>
      </c>
      <c r="Y154" s="6">
        <v>20785.882851707371</v>
      </c>
      <c r="Z154" s="6">
        <v>4054.194424211099</v>
      </c>
      <c r="AA154" s="6">
        <v>112305.6397468771</v>
      </c>
      <c r="AB154" s="6">
        <v>1150.692616618184</v>
      </c>
      <c r="AC154" s="3" t="s">
        <v>202</v>
      </c>
      <c r="AD154" s="3" t="s">
        <v>36</v>
      </c>
    </row>
    <row r="155" spans="1:30">
      <c r="A155" s="2">
        <v>46075</v>
      </c>
      <c r="B155" s="3" t="s">
        <v>30</v>
      </c>
      <c r="C155" s="3" t="s">
        <v>56</v>
      </c>
      <c r="D155" s="3" t="s">
        <v>45</v>
      </c>
      <c r="E155" s="3" t="s">
        <v>50</v>
      </c>
      <c r="F155" s="3" t="s">
        <v>51</v>
      </c>
      <c r="G155" s="4">
        <v>149.9454490019086</v>
      </c>
      <c r="H155" s="4">
        <v>148.76700062239291</v>
      </c>
      <c r="I155" s="4">
        <v>159.07416319024091</v>
      </c>
      <c r="J155" s="4">
        <v>7.6540732309276613</v>
      </c>
      <c r="K155" s="4">
        <v>7.3615134832904543</v>
      </c>
      <c r="L155" s="4">
        <v>17.553584858232419</v>
      </c>
      <c r="M155" s="4">
        <v>12.143453073160821</v>
      </c>
      <c r="N155" s="4">
        <v>89.394193531778285</v>
      </c>
      <c r="O155" s="4">
        <v>2495.1637299793579</v>
      </c>
      <c r="P155" s="5">
        <v>6.4794699284517643E-2</v>
      </c>
      <c r="Q155" s="5">
        <v>0.93520530071548236</v>
      </c>
      <c r="R155" s="5">
        <v>1.047130271340045E-2</v>
      </c>
      <c r="S155" s="5">
        <v>6.0364809320715982E-3</v>
      </c>
      <c r="T155" s="5">
        <v>0.98</v>
      </c>
      <c r="U155" s="5">
        <v>0.92948917772730333</v>
      </c>
      <c r="V155" s="5">
        <v>0.99214081929555153</v>
      </c>
      <c r="W155" s="4">
        <v>1.6641684962402901</v>
      </c>
      <c r="X155" s="6">
        <v>125946.92883430389</v>
      </c>
      <c r="Y155" s="6">
        <v>16412.566077056799</v>
      </c>
      <c r="Z155" s="6">
        <v>6504.781533258204</v>
      </c>
      <c r="AA155" s="6">
        <v>153427.26581962511</v>
      </c>
      <c r="AB155" s="6">
        <v>1031.3259336931919</v>
      </c>
      <c r="AC155" s="3" t="s">
        <v>203</v>
      </c>
      <c r="AD155" s="3" t="s">
        <v>49</v>
      </c>
    </row>
    <row r="156" spans="1:30">
      <c r="A156" s="2">
        <v>46076</v>
      </c>
      <c r="B156" s="3" t="s">
        <v>30</v>
      </c>
      <c r="C156" s="3" t="s">
        <v>56</v>
      </c>
      <c r="D156" s="3" t="s">
        <v>45</v>
      </c>
      <c r="E156" s="3" t="s">
        <v>33</v>
      </c>
      <c r="F156" s="3" t="s">
        <v>34</v>
      </c>
      <c r="G156" s="4">
        <v>143.05814515573061</v>
      </c>
      <c r="H156" s="4">
        <v>119.60371425726871</v>
      </c>
      <c r="I156" s="4">
        <v>130.0114880954965</v>
      </c>
      <c r="J156" s="4">
        <v>7.5386497721419277</v>
      </c>
      <c r="K156" s="4">
        <v>7.3350995228036728</v>
      </c>
      <c r="L156" s="4">
        <v>12.21301496029529</v>
      </c>
      <c r="M156" s="4">
        <v>16.236555922430391</v>
      </c>
      <c r="N156" s="4">
        <v>119.0967535985943</v>
      </c>
      <c r="O156" s="4">
        <v>2106.659128224263</v>
      </c>
      <c r="P156" s="5">
        <v>8.0052724499108108E-2</v>
      </c>
      <c r="Q156" s="5">
        <v>0.91994727550089206</v>
      </c>
      <c r="R156" s="5">
        <v>2.7501446420591082E-2</v>
      </c>
      <c r="S156" s="5">
        <v>2.0157907545693219E-2</v>
      </c>
      <c r="T156" s="5">
        <v>0.98</v>
      </c>
      <c r="U156" s="5">
        <v>0.78113606206243669</v>
      </c>
      <c r="V156" s="5">
        <v>0.8360496644708354</v>
      </c>
      <c r="W156" s="4">
        <v>1.0042567126588779</v>
      </c>
      <c r="X156" s="6">
        <v>108722.5750566835</v>
      </c>
      <c r="Y156" s="6">
        <v>17737.502239697649</v>
      </c>
      <c r="Z156" s="6">
        <v>4719.2458196892967</v>
      </c>
      <c r="AA156" s="6">
        <v>137326.7571960568</v>
      </c>
      <c r="AB156" s="6">
        <v>1148.181375878225</v>
      </c>
      <c r="AC156" s="3" t="s">
        <v>204</v>
      </c>
      <c r="AD156" s="3" t="s">
        <v>41</v>
      </c>
    </row>
    <row r="157" spans="1:30">
      <c r="A157" s="2">
        <v>46077</v>
      </c>
      <c r="B157" s="3" t="s">
        <v>30</v>
      </c>
      <c r="C157" s="3" t="s">
        <v>31</v>
      </c>
      <c r="D157" s="3" t="s">
        <v>32</v>
      </c>
      <c r="E157" s="3" t="s">
        <v>46</v>
      </c>
      <c r="F157" s="3" t="s">
        <v>47</v>
      </c>
      <c r="G157" s="4">
        <v>135.79829903744991</v>
      </c>
      <c r="H157" s="4">
        <v>145.0296947167819</v>
      </c>
      <c r="I157" s="4">
        <v>149.88783358723839</v>
      </c>
      <c r="J157" s="4">
        <v>7.4887154008017633</v>
      </c>
      <c r="K157" s="4">
        <v>7.3647347216199019</v>
      </c>
      <c r="L157" s="4">
        <v>7.4388407509116812</v>
      </c>
      <c r="M157" s="4">
        <v>12.097666492850889</v>
      </c>
      <c r="N157" s="4">
        <v>89.096104470476618</v>
      </c>
      <c r="O157" s="4">
        <v>2388.777466087241</v>
      </c>
      <c r="P157" s="5">
        <v>3.2411829260504739E-2</v>
      </c>
      <c r="Q157" s="5">
        <v>0.96758817073949532</v>
      </c>
      <c r="R157" s="5">
        <v>2.117388774064808E-2</v>
      </c>
      <c r="S157" s="5">
        <v>1.8112196837691739E-2</v>
      </c>
      <c r="T157" s="5">
        <v>0.83948524536278757</v>
      </c>
      <c r="U157" s="5">
        <v>0.8511655033622153</v>
      </c>
      <c r="V157" s="5">
        <v>1.0679787283402291</v>
      </c>
      <c r="W157" s="4">
        <v>1.627789403125248</v>
      </c>
      <c r="X157" s="6">
        <v>110579.42816501739</v>
      </c>
      <c r="Y157" s="6">
        <v>17209.881365440258</v>
      </c>
      <c r="Z157" s="6">
        <v>5138.6379875458997</v>
      </c>
      <c r="AA157" s="6">
        <v>136836.04011997001</v>
      </c>
      <c r="AB157" s="6">
        <v>943.50360722462642</v>
      </c>
      <c r="AC157" s="3" t="s">
        <v>205</v>
      </c>
      <c r="AD157" s="3" t="s">
        <v>49</v>
      </c>
    </row>
    <row r="158" spans="1:30">
      <c r="A158" s="2">
        <v>46078</v>
      </c>
      <c r="B158" s="3" t="s">
        <v>30</v>
      </c>
      <c r="C158" s="3" t="s">
        <v>63</v>
      </c>
      <c r="D158" s="3" t="s">
        <v>32</v>
      </c>
      <c r="E158" s="3" t="s">
        <v>38</v>
      </c>
      <c r="F158" s="3" t="s">
        <v>39</v>
      </c>
      <c r="G158" s="4">
        <v>115.6076100409027</v>
      </c>
      <c r="H158" s="4">
        <v>130.36499436403719</v>
      </c>
      <c r="I158" s="4">
        <v>139.3311825043063</v>
      </c>
      <c r="J158" s="4">
        <v>7.4913673980050044</v>
      </c>
      <c r="K158" s="4">
        <v>7.4358170770543026</v>
      </c>
      <c r="L158" s="4">
        <v>3.3330192570420349</v>
      </c>
      <c r="M158" s="4">
        <v>12.63643244017733</v>
      </c>
      <c r="N158" s="4">
        <v>93.962200131713587</v>
      </c>
      <c r="O158" s="4">
        <v>2140.2508684302061</v>
      </c>
      <c r="P158" s="5">
        <v>6.4351625954168531E-2</v>
      </c>
      <c r="Q158" s="5">
        <v>0.93564837404583145</v>
      </c>
      <c r="R158" s="5">
        <v>2.918829371353129E-2</v>
      </c>
      <c r="S158" s="5">
        <v>1.4201538642826691E-2</v>
      </c>
      <c r="T158" s="5">
        <v>0.89333715158652183</v>
      </c>
      <c r="U158" s="5">
        <v>0.91782615912066678</v>
      </c>
      <c r="V158" s="5">
        <v>1.1276506305935501</v>
      </c>
      <c r="W158" s="4">
        <v>1.387419560007058</v>
      </c>
      <c r="X158" s="6">
        <v>88435.130985019307</v>
      </c>
      <c r="Y158" s="6">
        <v>16513.54055590924</v>
      </c>
      <c r="Z158" s="6">
        <v>4591.4901614120763</v>
      </c>
      <c r="AA158" s="6">
        <v>112153.20179104801</v>
      </c>
      <c r="AB158" s="6">
        <v>860.30151221321137</v>
      </c>
      <c r="AC158" s="3" t="s">
        <v>206</v>
      </c>
      <c r="AD158" s="3" t="s">
        <v>49</v>
      </c>
    </row>
    <row r="159" spans="1:30">
      <c r="A159" s="2">
        <v>46079</v>
      </c>
      <c r="B159" s="3" t="s">
        <v>30</v>
      </c>
      <c r="C159" s="3" t="s">
        <v>44</v>
      </c>
      <c r="D159" s="3" t="s">
        <v>45</v>
      </c>
      <c r="E159" s="3" t="s">
        <v>33</v>
      </c>
      <c r="F159" s="3" t="s">
        <v>34</v>
      </c>
      <c r="G159" s="4">
        <v>97.155297793412686</v>
      </c>
      <c r="H159" s="4">
        <v>120.60368321768691</v>
      </c>
      <c r="I159" s="4">
        <v>127.513769463101</v>
      </c>
      <c r="J159" s="4">
        <v>7.5630624009498666</v>
      </c>
      <c r="K159" s="4">
        <v>7.1552920347335753</v>
      </c>
      <c r="L159" s="4">
        <v>24.46622197297755</v>
      </c>
      <c r="M159" s="4">
        <v>12.856453997936629</v>
      </c>
      <c r="N159" s="4">
        <v>91.991682886354624</v>
      </c>
      <c r="O159" s="4">
        <v>2221.671936321346</v>
      </c>
      <c r="P159" s="5">
        <v>5.4190902476721828E-2</v>
      </c>
      <c r="Q159" s="5">
        <v>0.94580909752327813</v>
      </c>
      <c r="R159" s="5">
        <v>2.898755503239275E-2</v>
      </c>
      <c r="S159" s="5">
        <v>1.363828023383276E-2</v>
      </c>
      <c r="T159" s="5">
        <v>0.86068419038790756</v>
      </c>
      <c r="U159" s="5">
        <v>0.84333284282386267</v>
      </c>
      <c r="V159" s="5">
        <v>1.2413495296379411</v>
      </c>
      <c r="W159" s="4">
        <v>1.3110281216039841</v>
      </c>
      <c r="X159" s="6">
        <v>84312.614796869078</v>
      </c>
      <c r="Y159" s="6">
        <v>16390.34904521986</v>
      </c>
      <c r="Z159" s="6">
        <v>6109.9040178772284</v>
      </c>
      <c r="AA159" s="6">
        <v>110312.6778418945</v>
      </c>
      <c r="AB159" s="6">
        <v>914.67088648348044</v>
      </c>
      <c r="AC159" s="3" t="s">
        <v>207</v>
      </c>
      <c r="AD159" s="3" t="s">
        <v>41</v>
      </c>
    </row>
    <row r="160" spans="1:30">
      <c r="A160" s="2">
        <v>46080</v>
      </c>
      <c r="B160" s="3" t="s">
        <v>30</v>
      </c>
      <c r="C160" s="3" t="s">
        <v>31</v>
      </c>
      <c r="D160" s="3" t="s">
        <v>32</v>
      </c>
      <c r="E160" s="3" t="s">
        <v>33</v>
      </c>
      <c r="F160" s="3" t="s">
        <v>34</v>
      </c>
      <c r="G160" s="4">
        <v>83.512577629318031</v>
      </c>
      <c r="H160" s="4">
        <v>91.76342526130442</v>
      </c>
      <c r="I160" s="4">
        <v>99.937840405329936</v>
      </c>
      <c r="J160" s="4">
        <v>7.7564694463035968</v>
      </c>
      <c r="K160" s="4">
        <v>7.614580840515929</v>
      </c>
      <c r="L160" s="4">
        <v>8.5133163472600959</v>
      </c>
      <c r="M160" s="4">
        <v>15.834273860851869</v>
      </c>
      <c r="N160" s="4">
        <v>120.57135836432489</v>
      </c>
      <c r="O160" s="4">
        <v>1712.94560702788</v>
      </c>
      <c r="P160" s="5">
        <v>8.1794994877531418E-2</v>
      </c>
      <c r="Q160" s="5">
        <v>0.91820500512246861</v>
      </c>
      <c r="R160" s="5">
        <v>2.0872581722280601E-2</v>
      </c>
      <c r="S160" s="5">
        <v>1.4985675269333519E-2</v>
      </c>
      <c r="T160" s="5">
        <v>0.8773606723513645</v>
      </c>
      <c r="U160" s="5">
        <v>0.8908240314646686</v>
      </c>
      <c r="V160" s="5">
        <v>1.098797664569868</v>
      </c>
      <c r="W160" s="4">
        <v>0.76107150575534821</v>
      </c>
      <c r="X160" s="6">
        <v>75075.334541542878</v>
      </c>
      <c r="Y160" s="6">
        <v>18597.582449217291</v>
      </c>
      <c r="Z160" s="6">
        <v>4534.8019025973936</v>
      </c>
      <c r="AA160" s="6">
        <v>100712.01636110331</v>
      </c>
      <c r="AB160" s="6">
        <v>1097.518058794308</v>
      </c>
      <c r="AC160" s="3" t="s">
        <v>208</v>
      </c>
      <c r="AD160" s="3" t="s">
        <v>41</v>
      </c>
    </row>
    <row r="161" spans="1:30">
      <c r="A161" s="2">
        <v>46081</v>
      </c>
      <c r="B161" s="3" t="s">
        <v>30</v>
      </c>
      <c r="C161" s="3" t="s">
        <v>31</v>
      </c>
      <c r="D161" s="3" t="s">
        <v>32</v>
      </c>
      <c r="E161" s="3" t="s">
        <v>33</v>
      </c>
      <c r="F161" s="3" t="s">
        <v>34</v>
      </c>
      <c r="G161" s="4">
        <v>145.4408177497134</v>
      </c>
      <c r="H161" s="4">
        <v>139.94631750460661</v>
      </c>
      <c r="I161" s="4">
        <v>147.57066755231281</v>
      </c>
      <c r="J161" s="4">
        <v>7.3663837826576462</v>
      </c>
      <c r="K161" s="4">
        <v>7.031016476795239</v>
      </c>
      <c r="L161" s="4">
        <v>20.12203835174445</v>
      </c>
      <c r="M161" s="4">
        <v>13.519863477506441</v>
      </c>
      <c r="N161" s="4">
        <v>95.05838287436994</v>
      </c>
      <c r="O161" s="4">
        <v>2301.6576017672819</v>
      </c>
      <c r="P161" s="5">
        <v>5.1665755628594143E-2</v>
      </c>
      <c r="Q161" s="5">
        <v>0.94833424437140601</v>
      </c>
      <c r="R161" s="5">
        <v>2.3099408336572331E-2</v>
      </c>
      <c r="S161" s="5">
        <v>2.4197232264798422E-3</v>
      </c>
      <c r="T161" s="5">
        <v>0.87631285033101103</v>
      </c>
      <c r="U161" s="5">
        <v>0.80287137820566512</v>
      </c>
      <c r="V161" s="5">
        <v>0.96222174537988203</v>
      </c>
      <c r="W161" s="4">
        <v>1.4722143726088941</v>
      </c>
      <c r="X161" s="6">
        <v>114158.2490043663</v>
      </c>
      <c r="Y161" s="6">
        <v>14580.36971352929</v>
      </c>
      <c r="Z161" s="6">
        <v>6361.2326774887106</v>
      </c>
      <c r="AA161" s="6">
        <v>138180.74920672289</v>
      </c>
      <c r="AB161" s="6">
        <v>987.38396029730814</v>
      </c>
      <c r="AC161" s="3" t="s">
        <v>209</v>
      </c>
      <c r="AD161" s="3" t="s">
        <v>43</v>
      </c>
    </row>
    <row r="162" spans="1:30">
      <c r="A162" s="2">
        <v>46082</v>
      </c>
      <c r="B162" s="3" t="s">
        <v>30</v>
      </c>
      <c r="C162" s="3" t="s">
        <v>63</v>
      </c>
      <c r="D162" s="3" t="s">
        <v>45</v>
      </c>
      <c r="E162" s="3" t="s">
        <v>50</v>
      </c>
      <c r="F162" s="3" t="s">
        <v>51</v>
      </c>
      <c r="G162" s="4">
        <v>113.61421797320931</v>
      </c>
      <c r="H162" s="4">
        <v>79.645328939035437</v>
      </c>
      <c r="I162" s="4">
        <v>82.772264093936386</v>
      </c>
      <c r="J162" s="4">
        <v>7.4050598090008473</v>
      </c>
      <c r="K162" s="4">
        <v>7.2369213087966644</v>
      </c>
      <c r="L162" s="4">
        <v>10.08831001225102</v>
      </c>
      <c r="M162" s="4">
        <v>15.021718155885919</v>
      </c>
      <c r="N162" s="4">
        <v>108.71099221706849</v>
      </c>
      <c r="O162" s="4">
        <v>1717.3162007820069</v>
      </c>
      <c r="P162" s="5">
        <v>3.777757186093466E-2</v>
      </c>
      <c r="Q162" s="5">
        <v>0.96222242813906533</v>
      </c>
      <c r="R162" s="5">
        <v>2.55113776556514E-2</v>
      </c>
      <c r="S162" s="5">
        <v>1.951999825990931E-2</v>
      </c>
      <c r="T162" s="5">
        <v>0.72035587549047153</v>
      </c>
      <c r="U162" s="5">
        <v>0.48388120039164029</v>
      </c>
      <c r="V162" s="5">
        <v>0.70101550985296712</v>
      </c>
      <c r="W162" s="4">
        <v>0.73263363082919652</v>
      </c>
      <c r="X162" s="6">
        <v>60497.575920061761</v>
      </c>
      <c r="Y162" s="6">
        <v>17117.429711793771</v>
      </c>
      <c r="Z162" s="6">
        <v>3483.165838524169</v>
      </c>
      <c r="AA162" s="6">
        <v>84199.093362944594</v>
      </c>
      <c r="AB162" s="6">
        <v>1057.175536651934</v>
      </c>
      <c r="AC162" s="3" t="s">
        <v>210</v>
      </c>
      <c r="AD162" s="3" t="s">
        <v>49</v>
      </c>
    </row>
    <row r="163" spans="1:30">
      <c r="A163" s="2">
        <v>46083</v>
      </c>
      <c r="B163" s="3" t="s">
        <v>30</v>
      </c>
      <c r="C163" s="3" t="s">
        <v>63</v>
      </c>
      <c r="D163" s="3" t="s">
        <v>32</v>
      </c>
      <c r="E163" s="3" t="s">
        <v>38</v>
      </c>
      <c r="F163" s="3" t="s">
        <v>39</v>
      </c>
      <c r="G163" s="4">
        <v>97.321588030371018</v>
      </c>
      <c r="H163" s="4">
        <v>113.07972428017941</v>
      </c>
      <c r="I163" s="4">
        <v>117.221101460513</v>
      </c>
      <c r="J163" s="4">
        <v>7.6579547069691376</v>
      </c>
      <c r="K163" s="4">
        <v>7.5775097174895274</v>
      </c>
      <c r="L163" s="4">
        <v>4.826699368776687</v>
      </c>
      <c r="M163" s="4">
        <v>15.003776362444301</v>
      </c>
      <c r="N163" s="4">
        <v>113.6912611854614</v>
      </c>
      <c r="O163" s="4">
        <v>2097.7612816191881</v>
      </c>
      <c r="P163" s="5">
        <v>3.5329621789372788E-2</v>
      </c>
      <c r="Q163" s="5">
        <v>0.96467037821062718</v>
      </c>
      <c r="R163" s="5">
        <v>2.36893844082544E-2</v>
      </c>
      <c r="S163" s="5">
        <v>1.260652458964876E-2</v>
      </c>
      <c r="T163" s="5">
        <v>0.78091121624483961</v>
      </c>
      <c r="U163" s="5">
        <v>0.80111510689516019</v>
      </c>
      <c r="V163" s="5">
        <v>1.161918198918936</v>
      </c>
      <c r="W163" s="4">
        <v>0.99462107378433939</v>
      </c>
      <c r="X163" s="6">
        <v>78738.384108767059</v>
      </c>
      <c r="Y163" s="6">
        <v>16585.10344077296</v>
      </c>
      <c r="Z163" s="6">
        <v>5158.8677280807251</v>
      </c>
      <c r="AA163" s="6">
        <v>106048.7828621591</v>
      </c>
      <c r="AB163" s="6">
        <v>937.82314678624789</v>
      </c>
      <c r="AC163" s="3" t="s">
        <v>211</v>
      </c>
      <c r="AD163" s="3" t="s">
        <v>36</v>
      </c>
    </row>
    <row r="164" spans="1:30">
      <c r="A164" s="2">
        <v>46084</v>
      </c>
      <c r="B164" s="3" t="s">
        <v>30</v>
      </c>
      <c r="C164" s="3" t="s">
        <v>56</v>
      </c>
      <c r="D164" s="3" t="s">
        <v>37</v>
      </c>
      <c r="E164" s="3" t="s">
        <v>46</v>
      </c>
      <c r="F164" s="3" t="s">
        <v>47</v>
      </c>
      <c r="G164" s="4">
        <v>59.740766945396402</v>
      </c>
      <c r="H164" s="4">
        <v>97.405772072765686</v>
      </c>
      <c r="I164" s="4">
        <v>104.9527486915761</v>
      </c>
      <c r="J164" s="4">
        <v>7.468592795255903</v>
      </c>
      <c r="K164" s="4">
        <v>7.1449287772727494</v>
      </c>
      <c r="L164" s="4">
        <v>19.419841078989261</v>
      </c>
      <c r="M164" s="4">
        <v>16.361358739911001</v>
      </c>
      <c r="N164" s="4">
        <v>116.9007428960731</v>
      </c>
      <c r="O164" s="4">
        <v>1769.726216766906</v>
      </c>
      <c r="P164" s="5">
        <v>7.1908327441605357E-2</v>
      </c>
      <c r="Q164" s="5">
        <v>0.92809167255839453</v>
      </c>
      <c r="R164" s="5">
        <v>2.797813387089813E-2</v>
      </c>
      <c r="S164" s="5">
        <v>8.7176311317203707E-3</v>
      </c>
      <c r="T164" s="5">
        <v>0.79384672321936933</v>
      </c>
      <c r="U164" s="5">
        <v>0.7904646630063632</v>
      </c>
      <c r="V164" s="5">
        <v>1.6304740808198099</v>
      </c>
      <c r="W164" s="4">
        <v>0.83323484230858291</v>
      </c>
      <c r="X164" s="6">
        <v>69653.527277307716</v>
      </c>
      <c r="Y164" s="6">
        <v>17470.24109213609</v>
      </c>
      <c r="Z164" s="6">
        <v>3885.3349578050402</v>
      </c>
      <c r="AA164" s="6">
        <v>94677.227798765336</v>
      </c>
      <c r="AB164" s="6">
        <v>971.98785846118005</v>
      </c>
      <c r="AC164" s="3" t="s">
        <v>212</v>
      </c>
      <c r="AD164" s="3" t="s">
        <v>41</v>
      </c>
    </row>
    <row r="165" spans="1:30">
      <c r="A165" s="2">
        <v>46085</v>
      </c>
      <c r="B165" s="3" t="s">
        <v>30</v>
      </c>
      <c r="C165" s="3" t="s">
        <v>63</v>
      </c>
      <c r="D165" s="3" t="s">
        <v>37</v>
      </c>
      <c r="E165" s="3" t="s">
        <v>46</v>
      </c>
      <c r="F165" s="3" t="s">
        <v>47</v>
      </c>
      <c r="G165" s="4">
        <v>65.966427632433835</v>
      </c>
      <c r="H165" s="4">
        <v>112.8247151852874</v>
      </c>
      <c r="I165" s="4">
        <v>118.9816081187226</v>
      </c>
      <c r="J165" s="4">
        <v>7.9845786214321901</v>
      </c>
      <c r="K165" s="4">
        <v>7.6266179960215554</v>
      </c>
      <c r="L165" s="4">
        <v>21.477637524638151</v>
      </c>
      <c r="M165" s="4">
        <v>14.26855822512737</v>
      </c>
      <c r="N165" s="4">
        <v>108.8208429370378</v>
      </c>
      <c r="O165" s="4">
        <v>1983.235024356228</v>
      </c>
      <c r="P165" s="5">
        <v>5.1746593702883037E-2</v>
      </c>
      <c r="Q165" s="5">
        <v>0.94825340629711696</v>
      </c>
      <c r="R165" s="5">
        <v>2.8338787139903138E-2</v>
      </c>
      <c r="S165" s="5">
        <v>6.5762596538154932E-3</v>
      </c>
      <c r="T165" s="5">
        <v>0.78342626234488866</v>
      </c>
      <c r="U165" s="5">
        <v>0.78055219930844844</v>
      </c>
      <c r="V165" s="5">
        <v>1.7103353817179381</v>
      </c>
      <c r="W165" s="4">
        <v>1.0367932478759261</v>
      </c>
      <c r="X165" s="6">
        <v>74964.685990522368</v>
      </c>
      <c r="Y165" s="6">
        <v>16679.656904959371</v>
      </c>
      <c r="Z165" s="6">
        <v>4472.614800940346</v>
      </c>
      <c r="AA165" s="6">
        <v>98859.251173498618</v>
      </c>
      <c r="AB165" s="6">
        <v>876.21981594321858</v>
      </c>
      <c r="AC165" s="3" t="s">
        <v>213</v>
      </c>
      <c r="AD165" s="3" t="s">
        <v>36</v>
      </c>
    </row>
    <row r="166" spans="1:30">
      <c r="A166" s="2">
        <v>46086</v>
      </c>
      <c r="B166" s="3" t="s">
        <v>30</v>
      </c>
      <c r="C166" s="3" t="s">
        <v>31</v>
      </c>
      <c r="D166" s="3" t="s">
        <v>45</v>
      </c>
      <c r="E166" s="3" t="s">
        <v>46</v>
      </c>
      <c r="F166" s="3" t="s">
        <v>47</v>
      </c>
      <c r="G166" s="4">
        <v>138.93246059441799</v>
      </c>
      <c r="H166" s="4">
        <v>109.3052663330112</v>
      </c>
      <c r="I166" s="4">
        <v>112.2515560651581</v>
      </c>
      <c r="J166" s="4">
        <v>8.2433584888882177</v>
      </c>
      <c r="K166" s="4">
        <v>8.2065124426678704</v>
      </c>
      <c r="L166" s="4">
        <v>2.2107627732208539</v>
      </c>
      <c r="M166" s="4">
        <v>19.452708106179671</v>
      </c>
      <c r="N166" s="4">
        <v>159.63889111694959</v>
      </c>
      <c r="O166" s="4">
        <v>1899.920789782059</v>
      </c>
      <c r="P166" s="5">
        <v>2.6247206145068269E-2</v>
      </c>
      <c r="Q166" s="5">
        <v>0.97375279385493174</v>
      </c>
      <c r="R166" s="5">
        <v>2.661413040500224E-2</v>
      </c>
      <c r="S166" s="5">
        <v>1.6419857168924329E-2</v>
      </c>
      <c r="T166" s="5">
        <v>0.69692125124093984</v>
      </c>
      <c r="U166" s="5">
        <v>0.5368899378699189</v>
      </c>
      <c r="V166" s="5">
        <v>0.78675110096914902</v>
      </c>
      <c r="W166" s="4">
        <v>0.68470324222520118</v>
      </c>
      <c r="X166" s="6">
        <v>85259.712456047346</v>
      </c>
      <c r="Y166" s="6">
        <v>29121.469642444848</v>
      </c>
      <c r="Z166" s="6">
        <v>4057.2991001391551</v>
      </c>
      <c r="AA166" s="6">
        <v>122772.89824398491</v>
      </c>
      <c r="AB166" s="6">
        <v>1123.211189751305</v>
      </c>
      <c r="AC166" s="3" t="s">
        <v>214</v>
      </c>
      <c r="AD166" s="3" t="s">
        <v>36</v>
      </c>
    </row>
    <row r="167" spans="1:30">
      <c r="A167" s="2">
        <v>46087</v>
      </c>
      <c r="B167" s="3" t="s">
        <v>30</v>
      </c>
      <c r="C167" s="3" t="s">
        <v>63</v>
      </c>
      <c r="D167" s="3" t="s">
        <v>37</v>
      </c>
      <c r="E167" s="3" t="s">
        <v>33</v>
      </c>
      <c r="F167" s="3" t="s">
        <v>34</v>
      </c>
      <c r="G167" s="4">
        <v>95.930031934889996</v>
      </c>
      <c r="H167" s="4">
        <v>112.5680665182325</v>
      </c>
      <c r="I167" s="4">
        <v>114.95134562441019</v>
      </c>
      <c r="J167" s="4">
        <v>7.7151495948513711</v>
      </c>
      <c r="K167" s="4">
        <v>7.2215902657080431</v>
      </c>
      <c r="L167" s="4">
        <v>29.613559748599691</v>
      </c>
      <c r="M167" s="4">
        <v>16.314394819321478</v>
      </c>
      <c r="N167" s="4">
        <v>117.8158748181297</v>
      </c>
      <c r="O167" s="4">
        <v>2107.0981732694208</v>
      </c>
      <c r="P167" s="5">
        <v>2.0732937863683729E-2</v>
      </c>
      <c r="Q167" s="5">
        <v>0.97926706213631631</v>
      </c>
      <c r="R167" s="5">
        <v>1.7918014275498561E-2</v>
      </c>
      <c r="S167" s="5">
        <v>1.6195850158016549E-2</v>
      </c>
      <c r="T167" s="5">
        <v>0.83125850051689665</v>
      </c>
      <c r="U167" s="5">
        <v>0.80375287869249556</v>
      </c>
      <c r="V167" s="5">
        <v>1.173439268681107</v>
      </c>
      <c r="W167" s="4">
        <v>0.95545754502100688</v>
      </c>
      <c r="X167" s="6">
        <v>78493.629127799941</v>
      </c>
      <c r="Y167" s="6">
        <v>18417.972502923469</v>
      </c>
      <c r="Z167" s="6">
        <v>5574.9435767763134</v>
      </c>
      <c r="AA167" s="6">
        <v>106844.2893753816</v>
      </c>
      <c r="AB167" s="6">
        <v>949.15274535763797</v>
      </c>
      <c r="AC167" s="3" t="s">
        <v>215</v>
      </c>
      <c r="AD167" s="3" t="s">
        <v>41</v>
      </c>
    </row>
    <row r="168" spans="1:30">
      <c r="A168" s="2">
        <v>46088</v>
      </c>
      <c r="B168" s="3" t="s">
        <v>30</v>
      </c>
      <c r="C168" s="3" t="s">
        <v>63</v>
      </c>
      <c r="D168" s="3" t="s">
        <v>32</v>
      </c>
      <c r="E168" s="3" t="s">
        <v>33</v>
      </c>
      <c r="F168" s="3" t="s">
        <v>34</v>
      </c>
      <c r="G168" s="4">
        <v>67.004297027612125</v>
      </c>
      <c r="H168" s="4">
        <v>89.882345621896491</v>
      </c>
      <c r="I168" s="4">
        <v>94.152281060462613</v>
      </c>
      <c r="J168" s="4">
        <v>7.9452993253324049</v>
      </c>
      <c r="K168" s="4">
        <v>7.714014733224098</v>
      </c>
      <c r="L168" s="4">
        <v>13.877075526498389</v>
      </c>
      <c r="M168" s="4">
        <v>12.900917054691311</v>
      </c>
      <c r="N168" s="4">
        <v>99.517864231990799</v>
      </c>
      <c r="O168" s="4">
        <v>1922.3341036678289</v>
      </c>
      <c r="P168" s="5">
        <v>4.5351375351427317E-2</v>
      </c>
      <c r="Q168" s="5">
        <v>0.9546486246485727</v>
      </c>
      <c r="R168" s="5">
        <v>4.4717913434159783E-2</v>
      </c>
      <c r="S168" s="5">
        <v>1.4500666631643891E-2</v>
      </c>
      <c r="T168" s="5">
        <v>0.74181828825527418</v>
      </c>
      <c r="U168" s="5">
        <v>0.74526953861036271</v>
      </c>
      <c r="V168" s="5">
        <v>1.3414415135921269</v>
      </c>
      <c r="W168" s="4">
        <v>0.90317800040772078</v>
      </c>
      <c r="X168" s="6">
        <v>65821.564328082357</v>
      </c>
      <c r="Y168" s="6">
        <v>18781.225846453599</v>
      </c>
      <c r="Z168" s="6">
        <v>4324.6808271829022</v>
      </c>
      <c r="AA168" s="6">
        <v>94793.518498740043</v>
      </c>
      <c r="AB168" s="6">
        <v>1054.640016822693</v>
      </c>
      <c r="AC168" s="3" t="s">
        <v>216</v>
      </c>
      <c r="AD168" s="3" t="s">
        <v>43</v>
      </c>
    </row>
    <row r="169" spans="1:30">
      <c r="A169" s="2">
        <v>46089</v>
      </c>
      <c r="B169" s="3" t="s">
        <v>30</v>
      </c>
      <c r="C169" s="3" t="s">
        <v>44</v>
      </c>
      <c r="D169" s="3" t="s">
        <v>32</v>
      </c>
      <c r="E169" s="3" t="s">
        <v>50</v>
      </c>
      <c r="F169" s="3" t="s">
        <v>51</v>
      </c>
      <c r="G169" s="4">
        <v>68.253539381559648</v>
      </c>
      <c r="H169" s="4">
        <v>98.463732666494764</v>
      </c>
      <c r="I169" s="4">
        <v>102.4782229578816</v>
      </c>
      <c r="J169" s="4">
        <v>7.4491956509024586</v>
      </c>
      <c r="K169" s="4">
        <v>6.9475996870481156</v>
      </c>
      <c r="L169" s="4">
        <v>30.095757831260642</v>
      </c>
      <c r="M169" s="4">
        <v>16.83210092390738</v>
      </c>
      <c r="N169" s="4">
        <v>116.9426991113012</v>
      </c>
      <c r="O169" s="4">
        <v>2039.4370726032271</v>
      </c>
      <c r="P169" s="5">
        <v>3.9174081824553141E-2</v>
      </c>
      <c r="Q169" s="5">
        <v>0.96082591817544682</v>
      </c>
      <c r="R169" s="5">
        <v>9.0158103618917448E-3</v>
      </c>
      <c r="S169" s="5">
        <v>1.654498607248244E-3</v>
      </c>
      <c r="T169" s="5">
        <v>0.92300471344956647</v>
      </c>
      <c r="U169" s="5">
        <v>0.90240083624425649</v>
      </c>
      <c r="V169" s="5">
        <v>1.442617240932375</v>
      </c>
      <c r="W169" s="4">
        <v>0.84198272670943819</v>
      </c>
      <c r="X169" s="6">
        <v>78178.512985370631</v>
      </c>
      <c r="Y169" s="6">
        <v>21660.357910607941</v>
      </c>
      <c r="Z169" s="6">
        <v>5554.3159970354855</v>
      </c>
      <c r="AA169" s="6">
        <v>109359.5204663514</v>
      </c>
      <c r="AB169" s="6">
        <v>1110.6578788431841</v>
      </c>
      <c r="AC169" s="3" t="s">
        <v>217</v>
      </c>
      <c r="AD169" s="3" t="s">
        <v>41</v>
      </c>
    </row>
    <row r="170" spans="1:30">
      <c r="A170" s="2">
        <v>46090</v>
      </c>
      <c r="B170" s="3" t="s">
        <v>30</v>
      </c>
      <c r="C170" s="3" t="s">
        <v>63</v>
      </c>
      <c r="D170" s="3" t="s">
        <v>32</v>
      </c>
      <c r="E170" s="3" t="s">
        <v>46</v>
      </c>
      <c r="F170" s="3" t="s">
        <v>47</v>
      </c>
      <c r="G170" s="4">
        <v>99.082380323352055</v>
      </c>
      <c r="H170" s="4">
        <v>103.6459500540232</v>
      </c>
      <c r="I170" s="4">
        <v>106.8682398497032</v>
      </c>
      <c r="J170" s="4">
        <v>8.216301703714791</v>
      </c>
      <c r="K170" s="4">
        <v>7.821185483184955</v>
      </c>
      <c r="L170" s="4">
        <v>23.70697323179018</v>
      </c>
      <c r="M170" s="4">
        <v>16.067101564162702</v>
      </c>
      <c r="N170" s="4">
        <v>125.6637815104876</v>
      </c>
      <c r="O170" s="4">
        <v>2118.1502901868112</v>
      </c>
      <c r="P170" s="5">
        <v>3.015198715925024E-2</v>
      </c>
      <c r="Q170" s="5">
        <v>0.96984801284074973</v>
      </c>
      <c r="R170" s="5">
        <v>3.0024407322362931E-2</v>
      </c>
      <c r="S170" s="5">
        <v>2.1032854199586389E-2</v>
      </c>
      <c r="T170" s="5">
        <v>0.81085092783211188</v>
      </c>
      <c r="U170" s="5">
        <v>0.79042605536542021</v>
      </c>
      <c r="V170" s="5">
        <v>1.046058337675964</v>
      </c>
      <c r="W170" s="4">
        <v>0.82478776946063193</v>
      </c>
      <c r="X170" s="6">
        <v>72515.659886293986</v>
      </c>
      <c r="Y170" s="6">
        <v>20483.151405007498</v>
      </c>
      <c r="Z170" s="6">
        <v>5084.479961523055</v>
      </c>
      <c r="AA170" s="6">
        <v>101552.0516034179</v>
      </c>
      <c r="AB170" s="6">
        <v>979.79758543856303</v>
      </c>
      <c r="AC170" s="3" t="s">
        <v>218</v>
      </c>
      <c r="AD170" s="3" t="s">
        <v>41</v>
      </c>
    </row>
    <row r="171" spans="1:30">
      <c r="A171" s="2">
        <v>46091</v>
      </c>
      <c r="B171" s="3" t="s">
        <v>30</v>
      </c>
      <c r="C171" s="3" t="s">
        <v>63</v>
      </c>
      <c r="D171" s="3" t="s">
        <v>45</v>
      </c>
      <c r="E171" s="3" t="s">
        <v>50</v>
      </c>
      <c r="F171" s="3" t="s">
        <v>51</v>
      </c>
      <c r="G171" s="4">
        <v>75.414288109513521</v>
      </c>
      <c r="H171" s="4">
        <v>133.49843305210291</v>
      </c>
      <c r="I171" s="4">
        <v>140.86844392856241</v>
      </c>
      <c r="J171" s="4">
        <v>8.4337561444850024</v>
      </c>
      <c r="K171" s="4">
        <v>8.3028752612270509</v>
      </c>
      <c r="L171" s="4">
        <v>7.8528529954770914</v>
      </c>
      <c r="M171" s="4">
        <v>15.20670805593708</v>
      </c>
      <c r="N171" s="4">
        <v>126.2594001223421</v>
      </c>
      <c r="O171" s="4">
        <v>2138.3247939961152</v>
      </c>
      <c r="P171" s="5">
        <v>5.2318394886203462E-2</v>
      </c>
      <c r="Q171" s="5">
        <v>0.94768160511379662</v>
      </c>
      <c r="R171" s="5">
        <v>7.504682874965838E-3</v>
      </c>
      <c r="S171" s="5">
        <v>1.3586230567808531E-2</v>
      </c>
      <c r="T171" s="5">
        <v>0.91282496610633401</v>
      </c>
      <c r="U171" s="5">
        <v>0.93077221082188233</v>
      </c>
      <c r="V171" s="5">
        <v>1.770200798796137</v>
      </c>
      <c r="W171" s="4">
        <v>1.057334605761997</v>
      </c>
      <c r="X171" s="6">
        <v>95423.137512225017</v>
      </c>
      <c r="Y171" s="6">
        <v>22723.673765208121</v>
      </c>
      <c r="Z171" s="6">
        <v>5612.0502587133806</v>
      </c>
      <c r="AA171" s="6">
        <v>127228.25391402451</v>
      </c>
      <c r="AB171" s="6">
        <v>953.03181472076767</v>
      </c>
      <c r="AC171" s="3" t="s">
        <v>219</v>
      </c>
      <c r="AD171" s="3" t="s">
        <v>49</v>
      </c>
    </row>
    <row r="172" spans="1:30">
      <c r="A172" s="2">
        <v>46092</v>
      </c>
      <c r="B172" s="3" t="s">
        <v>30</v>
      </c>
      <c r="C172" s="3" t="s">
        <v>31</v>
      </c>
      <c r="D172" s="3" t="s">
        <v>32</v>
      </c>
      <c r="E172" s="3" t="s">
        <v>50</v>
      </c>
      <c r="F172" s="3" t="s">
        <v>51</v>
      </c>
      <c r="G172" s="4">
        <v>84.60370808629969</v>
      </c>
      <c r="H172" s="4">
        <v>119.7126287258734</v>
      </c>
      <c r="I172" s="4">
        <v>125.3536413829998</v>
      </c>
      <c r="J172" s="4">
        <v>7.5668247353896927</v>
      </c>
      <c r="K172" s="4">
        <v>7.1183977353222883</v>
      </c>
      <c r="L172" s="4">
        <v>26.905620004044259</v>
      </c>
      <c r="M172" s="4">
        <v>13.76733596929723</v>
      </c>
      <c r="N172" s="4">
        <v>98.001373185266488</v>
      </c>
      <c r="O172" s="4">
        <v>2126.7606556111609</v>
      </c>
      <c r="P172" s="5">
        <v>4.5000788129409428E-2</v>
      </c>
      <c r="Q172" s="5">
        <v>0.95499921187059056</v>
      </c>
      <c r="R172" s="5">
        <v>3.1641901952492807E-2</v>
      </c>
      <c r="S172" s="5">
        <v>1.8116619647232459E-2</v>
      </c>
      <c r="T172" s="5">
        <v>0.77888975303417907</v>
      </c>
      <c r="U172" s="5">
        <v>0.75542921057477475</v>
      </c>
      <c r="V172" s="5">
        <v>1.414980872986809</v>
      </c>
      <c r="W172" s="4">
        <v>1.221540319639838</v>
      </c>
      <c r="X172" s="6">
        <v>88640.072113668008</v>
      </c>
      <c r="Y172" s="6">
        <v>18057.56826613659</v>
      </c>
      <c r="Z172" s="6">
        <v>4262.6489370979152</v>
      </c>
      <c r="AA172" s="6">
        <v>113759.9535854485</v>
      </c>
      <c r="AB172" s="6">
        <v>950.275295064685</v>
      </c>
      <c r="AC172" s="3" t="s">
        <v>220</v>
      </c>
      <c r="AD172" s="3" t="s">
        <v>49</v>
      </c>
    </row>
    <row r="173" spans="1:30">
      <c r="A173" s="2">
        <v>46093</v>
      </c>
      <c r="B173" s="3" t="s">
        <v>30</v>
      </c>
      <c r="C173" s="3" t="s">
        <v>31</v>
      </c>
      <c r="D173" s="3" t="s">
        <v>45</v>
      </c>
      <c r="E173" s="3" t="s">
        <v>38</v>
      </c>
      <c r="F173" s="3" t="s">
        <v>39</v>
      </c>
      <c r="G173" s="4">
        <v>97.73785813345728</v>
      </c>
      <c r="H173" s="4">
        <v>148.95235116099141</v>
      </c>
      <c r="I173" s="4">
        <v>157.30042670121921</v>
      </c>
      <c r="J173" s="4">
        <v>7.8702086642232363</v>
      </c>
      <c r="K173" s="4">
        <v>7.6169163033098606</v>
      </c>
      <c r="L173" s="4">
        <v>15.197541654802491</v>
      </c>
      <c r="M173" s="4">
        <v>15.05117334803224</v>
      </c>
      <c r="N173" s="4">
        <v>114.6435276585697</v>
      </c>
      <c r="O173" s="4">
        <v>2320.5049090251568</v>
      </c>
      <c r="P173" s="5">
        <v>5.3070902064903162E-2</v>
      </c>
      <c r="Q173" s="5">
        <v>0.94692909793509683</v>
      </c>
      <c r="R173" s="5">
        <v>2.136932130310313E-2</v>
      </c>
      <c r="S173" s="5">
        <v>7.3317883299258702E-3</v>
      </c>
      <c r="T173" s="5">
        <v>0.91924696945835205</v>
      </c>
      <c r="U173" s="5">
        <v>0.92729636408666805</v>
      </c>
      <c r="V173" s="5">
        <v>1.523998520180406</v>
      </c>
      <c r="W173" s="4">
        <v>1.2992652459596321</v>
      </c>
      <c r="X173" s="6">
        <v>124267.411803681</v>
      </c>
      <c r="Y173" s="6">
        <v>18529.606298003371</v>
      </c>
      <c r="Z173" s="6">
        <v>4694.2616696885652</v>
      </c>
      <c r="AA173" s="6">
        <v>150853.13914474839</v>
      </c>
      <c r="AB173" s="6">
        <v>1012.761047200273</v>
      </c>
      <c r="AC173" s="3" t="s">
        <v>221</v>
      </c>
      <c r="AD173" s="3" t="s">
        <v>36</v>
      </c>
    </row>
    <row r="174" spans="1:30">
      <c r="A174" s="2">
        <v>46094</v>
      </c>
      <c r="B174" s="3" t="s">
        <v>30</v>
      </c>
      <c r="C174" s="3" t="s">
        <v>31</v>
      </c>
      <c r="D174" s="3" t="s">
        <v>37</v>
      </c>
      <c r="E174" s="3" t="s">
        <v>50</v>
      </c>
      <c r="F174" s="3" t="s">
        <v>51</v>
      </c>
      <c r="G174" s="4">
        <v>83.26854804700065</v>
      </c>
      <c r="H174" s="4">
        <v>134.4270871612265</v>
      </c>
      <c r="I174" s="4">
        <v>141.52079031273581</v>
      </c>
      <c r="J174" s="4">
        <v>7.4594664813732336</v>
      </c>
      <c r="K174" s="4">
        <v>7.2115172642300847</v>
      </c>
      <c r="L174" s="4">
        <v>14.87695302858894</v>
      </c>
      <c r="M174" s="4">
        <v>16.436030379426501</v>
      </c>
      <c r="N174" s="4">
        <v>118.52871683664441</v>
      </c>
      <c r="O174" s="4">
        <v>2345.0446240385968</v>
      </c>
      <c r="P174" s="5">
        <v>5.0124813010395383E-2</v>
      </c>
      <c r="Q174" s="5">
        <v>0.9498751869896046</v>
      </c>
      <c r="R174" s="5">
        <v>2.0288963688779041E-2</v>
      </c>
      <c r="S174" s="5">
        <v>1.6805804682291221E-2</v>
      </c>
      <c r="T174" s="5">
        <v>0.85003849657292441</v>
      </c>
      <c r="U174" s="5">
        <v>0.84837151885615247</v>
      </c>
      <c r="V174" s="5">
        <v>1.6143801028612821</v>
      </c>
      <c r="W174" s="4">
        <v>1.1341309578715271</v>
      </c>
      <c r="X174" s="6">
        <v>110589.70503958489</v>
      </c>
      <c r="Y174" s="6">
        <v>22846.920621137331</v>
      </c>
      <c r="Z174" s="6">
        <v>5665.3231020738422</v>
      </c>
      <c r="AA174" s="6">
        <v>142849.11244107029</v>
      </c>
      <c r="AB174" s="6">
        <v>1062.651251750644</v>
      </c>
      <c r="AC174" s="3" t="s">
        <v>222</v>
      </c>
      <c r="AD174" s="3" t="s">
        <v>41</v>
      </c>
    </row>
    <row r="175" spans="1:30">
      <c r="A175" s="2">
        <v>46095</v>
      </c>
      <c r="B175" s="3" t="s">
        <v>30</v>
      </c>
      <c r="C175" s="3" t="s">
        <v>44</v>
      </c>
      <c r="D175" s="3" t="s">
        <v>45</v>
      </c>
      <c r="E175" s="3" t="s">
        <v>33</v>
      </c>
      <c r="F175" s="3" t="s">
        <v>34</v>
      </c>
      <c r="G175" s="4">
        <v>117.32854528250709</v>
      </c>
      <c r="H175" s="4">
        <v>133.5560516127137</v>
      </c>
      <c r="I175" s="4">
        <v>140.04402051575769</v>
      </c>
      <c r="J175" s="4">
        <v>7.7840797865638178</v>
      </c>
      <c r="K175" s="4">
        <v>7.5827475197892209</v>
      </c>
      <c r="L175" s="4">
        <v>12.079936006475799</v>
      </c>
      <c r="M175" s="4">
        <v>18.459935799140428</v>
      </c>
      <c r="N175" s="4">
        <v>139.97703239640029</v>
      </c>
      <c r="O175" s="4">
        <v>2189.0899127101288</v>
      </c>
      <c r="P175" s="5">
        <v>4.6328067982838513E-2</v>
      </c>
      <c r="Q175" s="5">
        <v>0.95367193201716149</v>
      </c>
      <c r="R175" s="5">
        <v>1.7601894102058278E-2</v>
      </c>
      <c r="S175" s="5">
        <v>1.6403195626107779E-2</v>
      </c>
      <c r="T175" s="5">
        <v>0.90749010853400969</v>
      </c>
      <c r="U175" s="5">
        <v>0.91299337266392933</v>
      </c>
      <c r="V175" s="5">
        <v>1.138308254748523</v>
      </c>
      <c r="W175" s="4">
        <v>0.95412832609921949</v>
      </c>
      <c r="X175" s="6">
        <v>119806.0236027051</v>
      </c>
      <c r="Y175" s="6">
        <v>21877.314712722109</v>
      </c>
      <c r="Z175" s="6">
        <v>4581.5166410484444</v>
      </c>
      <c r="AA175" s="6">
        <v>153244.44032002991</v>
      </c>
      <c r="AB175" s="6">
        <v>1147.4166723976591</v>
      </c>
      <c r="AC175" s="3" t="s">
        <v>223</v>
      </c>
      <c r="AD175" s="3" t="s">
        <v>49</v>
      </c>
    </row>
    <row r="176" spans="1:30">
      <c r="A176" s="2">
        <v>46096</v>
      </c>
      <c r="B176" s="3" t="s">
        <v>30</v>
      </c>
      <c r="C176" s="3" t="s">
        <v>63</v>
      </c>
      <c r="D176" s="3" t="s">
        <v>32</v>
      </c>
      <c r="E176" s="3" t="s">
        <v>33</v>
      </c>
      <c r="F176" s="3" t="s">
        <v>34</v>
      </c>
      <c r="G176" s="4">
        <v>72.471121921291285</v>
      </c>
      <c r="H176" s="4">
        <v>128.6185380598175</v>
      </c>
      <c r="I176" s="4">
        <v>131.4487199578235</v>
      </c>
      <c r="J176" s="4">
        <v>7.672826116459678</v>
      </c>
      <c r="K176" s="4">
        <v>7.474550649866111</v>
      </c>
      <c r="L176" s="4">
        <v>11.89652799561401</v>
      </c>
      <c r="M176" s="4">
        <v>16.29599822039016</v>
      </c>
      <c r="N176" s="4">
        <v>121.8052640884342</v>
      </c>
      <c r="O176" s="4">
        <v>2145.3500021902678</v>
      </c>
      <c r="P176" s="5">
        <v>2.1530691960439319E-2</v>
      </c>
      <c r="Q176" s="5">
        <v>0.97846930803956067</v>
      </c>
      <c r="R176" s="5">
        <v>3.887998154984787E-2</v>
      </c>
      <c r="S176" s="5">
        <v>1.8654711631911139E-2</v>
      </c>
      <c r="T176" s="5">
        <v>0.93365358671240817</v>
      </c>
      <c r="U176" s="5">
        <v>0.93718783700632569</v>
      </c>
      <c r="V176" s="5">
        <v>1.774755718553747</v>
      </c>
      <c r="W176" s="4">
        <v>1.0559357924501249</v>
      </c>
      <c r="X176" s="6">
        <v>102345.7439607851</v>
      </c>
      <c r="Y176" s="6">
        <v>21519.904688372739</v>
      </c>
      <c r="Z176" s="6">
        <v>4696.8731328050999</v>
      </c>
      <c r="AA176" s="6">
        <v>132848.63680232479</v>
      </c>
      <c r="AB176" s="6">
        <v>1032.888717336687</v>
      </c>
      <c r="AC176" s="3" t="s">
        <v>224</v>
      </c>
      <c r="AD176" s="3" t="s">
        <v>36</v>
      </c>
    </row>
    <row r="177" spans="1:30">
      <c r="A177" s="2">
        <v>46097</v>
      </c>
      <c r="B177" s="3" t="s">
        <v>30</v>
      </c>
      <c r="C177" s="3" t="s">
        <v>63</v>
      </c>
      <c r="D177" s="3" t="s">
        <v>37</v>
      </c>
      <c r="E177" s="3" t="s">
        <v>46</v>
      </c>
      <c r="F177" s="3" t="s">
        <v>47</v>
      </c>
      <c r="G177" s="4">
        <v>95.604778714770134</v>
      </c>
      <c r="H177" s="4">
        <v>117.03689757958399</v>
      </c>
      <c r="I177" s="4">
        <v>123.34473688342089</v>
      </c>
      <c r="J177" s="4">
        <v>7.2096468936680109</v>
      </c>
      <c r="K177" s="4">
        <v>7.0004647341570356</v>
      </c>
      <c r="L177" s="4">
        <v>12.5509295706585</v>
      </c>
      <c r="M177" s="4">
        <v>15.667718334077071</v>
      </c>
      <c r="N177" s="4">
        <v>109.6813096624121</v>
      </c>
      <c r="O177" s="4">
        <v>2052.937268493155</v>
      </c>
      <c r="P177" s="5">
        <v>5.1139914545350607E-2</v>
      </c>
      <c r="Q177" s="5">
        <v>0.94886008545464939</v>
      </c>
      <c r="R177" s="5">
        <v>2.090386191515271E-2</v>
      </c>
      <c r="S177" s="5">
        <v>7.6335033645697674E-3</v>
      </c>
      <c r="T177" s="5">
        <v>0.88477170258254867</v>
      </c>
      <c r="U177" s="5">
        <v>0.89516994856625964</v>
      </c>
      <c r="V177" s="5">
        <v>1.224174138081058</v>
      </c>
      <c r="W177" s="4">
        <v>1.0670632757742551</v>
      </c>
      <c r="X177" s="6">
        <v>80912.190284357785</v>
      </c>
      <c r="Y177" s="6">
        <v>17707.977089517251</v>
      </c>
      <c r="Z177" s="6">
        <v>4652.8395588895282</v>
      </c>
      <c r="AA177" s="6">
        <v>105948.1208157793</v>
      </c>
      <c r="AB177" s="6">
        <v>905.25400969156374</v>
      </c>
      <c r="AC177" s="3" t="s">
        <v>225</v>
      </c>
      <c r="AD177" s="3" t="s">
        <v>43</v>
      </c>
    </row>
    <row r="178" spans="1:30">
      <c r="A178" s="2">
        <v>46098</v>
      </c>
      <c r="B178" s="3" t="s">
        <v>30</v>
      </c>
      <c r="C178" s="3" t="s">
        <v>44</v>
      </c>
      <c r="D178" s="3" t="s">
        <v>45</v>
      </c>
      <c r="E178" s="3" t="s">
        <v>46</v>
      </c>
      <c r="F178" s="3" t="s">
        <v>47</v>
      </c>
      <c r="G178" s="4">
        <v>101.84880520848171</v>
      </c>
      <c r="H178" s="4">
        <v>114.4114454798857</v>
      </c>
      <c r="I178" s="4">
        <v>120.5856241501269</v>
      </c>
      <c r="J178" s="4">
        <v>8.2964484376787269</v>
      </c>
      <c r="K178" s="4">
        <v>8.1659338834140893</v>
      </c>
      <c r="L178" s="4">
        <v>7.8308732558782959</v>
      </c>
      <c r="M178" s="4">
        <v>17.10582093371319</v>
      </c>
      <c r="N178" s="4">
        <v>139.68500276622251</v>
      </c>
      <c r="O178" s="4">
        <v>2049.1198984554799</v>
      </c>
      <c r="P178" s="5">
        <v>5.1201614734393601E-2</v>
      </c>
      <c r="Q178" s="5">
        <v>0.94879838526560645</v>
      </c>
      <c r="R178" s="5">
        <v>1.8447704606963791E-2</v>
      </c>
      <c r="S178" s="5">
        <v>2.10623288898889E-2</v>
      </c>
      <c r="T178" s="5">
        <v>0.85942239660021602</v>
      </c>
      <c r="U178" s="5">
        <v>0.86949011376079399</v>
      </c>
      <c r="V178" s="5">
        <v>1.1233459758873821</v>
      </c>
      <c r="W178" s="4">
        <v>0.81906749625344699</v>
      </c>
      <c r="X178" s="6">
        <v>89365.004733334557</v>
      </c>
      <c r="Y178" s="6">
        <v>21407.726819624011</v>
      </c>
      <c r="Z178" s="6">
        <v>5717.482650255507</v>
      </c>
      <c r="AA178" s="6">
        <v>119103.70201406771</v>
      </c>
      <c r="AB178" s="6">
        <v>1041.012125268594</v>
      </c>
      <c r="AC178" s="3" t="s">
        <v>226</v>
      </c>
      <c r="AD178" s="3" t="s">
        <v>41</v>
      </c>
    </row>
    <row r="179" spans="1:30">
      <c r="A179" s="2">
        <v>46099</v>
      </c>
      <c r="B179" s="3" t="s">
        <v>30</v>
      </c>
      <c r="C179" s="3" t="s">
        <v>63</v>
      </c>
      <c r="D179" s="3" t="s">
        <v>32</v>
      </c>
      <c r="E179" s="3" t="s">
        <v>38</v>
      </c>
      <c r="F179" s="3" t="s">
        <v>39</v>
      </c>
      <c r="G179" s="4">
        <v>114.0171904532593</v>
      </c>
      <c r="H179" s="4">
        <v>83.900037354336831</v>
      </c>
      <c r="I179" s="4">
        <v>87.675042724347591</v>
      </c>
      <c r="J179" s="4">
        <v>7.2025074673020546</v>
      </c>
      <c r="K179" s="4">
        <v>6.9799028311823266</v>
      </c>
      <c r="L179" s="4">
        <v>13.35627816718366</v>
      </c>
      <c r="M179" s="4">
        <v>11.31909452586263</v>
      </c>
      <c r="N179" s="4">
        <v>79.00617992748893</v>
      </c>
      <c r="O179" s="4">
        <v>1832.8487277191059</v>
      </c>
      <c r="P179" s="5">
        <v>4.3056783922871537E-2</v>
      </c>
      <c r="Q179" s="5">
        <v>0.95694321607712851</v>
      </c>
      <c r="R179" s="5">
        <v>1.257999989359123E-2</v>
      </c>
      <c r="S179" s="5">
        <v>6.954021092894838E-3</v>
      </c>
      <c r="T179" s="5">
        <v>0.88376593928149405</v>
      </c>
      <c r="U179" s="5">
        <v>0.62584112136637016</v>
      </c>
      <c r="V179" s="5">
        <v>0.73585427794531688</v>
      </c>
      <c r="W179" s="4">
        <v>1.0619427167765789</v>
      </c>
      <c r="X179" s="6">
        <v>56822.50932708347</v>
      </c>
      <c r="Y179" s="6">
        <v>14670.05720316031</v>
      </c>
      <c r="Z179" s="6">
        <v>3868.4785167434229</v>
      </c>
      <c r="AA179" s="6">
        <v>79476.009446087046</v>
      </c>
      <c r="AB179" s="6">
        <v>947.27025103021481</v>
      </c>
      <c r="AC179" s="3" t="s">
        <v>227</v>
      </c>
      <c r="AD179" s="3" t="s">
        <v>43</v>
      </c>
    </row>
    <row r="180" spans="1:30">
      <c r="A180" s="2">
        <v>46100</v>
      </c>
      <c r="B180" s="3" t="s">
        <v>30</v>
      </c>
      <c r="C180" s="3" t="s">
        <v>31</v>
      </c>
      <c r="D180" s="3" t="s">
        <v>32</v>
      </c>
      <c r="E180" s="3" t="s">
        <v>38</v>
      </c>
      <c r="F180" s="3" t="s">
        <v>39</v>
      </c>
      <c r="G180" s="4">
        <v>143.04238555851589</v>
      </c>
      <c r="H180" s="4">
        <v>158.68467889202921</v>
      </c>
      <c r="I180" s="4">
        <v>160.61202317006999</v>
      </c>
      <c r="J180" s="4">
        <v>7.7561589291019253</v>
      </c>
      <c r="K180" s="4">
        <v>7.6437437386070792</v>
      </c>
      <c r="L180" s="4">
        <v>6.7449114296907648</v>
      </c>
      <c r="M180" s="4">
        <v>17.55622851758724</v>
      </c>
      <c r="N180" s="4">
        <v>134.19531180486251</v>
      </c>
      <c r="O180" s="4">
        <v>2437.87236808738</v>
      </c>
      <c r="P180" s="5">
        <v>1.2E-2</v>
      </c>
      <c r="Q180" s="5">
        <v>0.98799999999999999</v>
      </c>
      <c r="R180" s="5">
        <v>2.1061278448579E-2</v>
      </c>
      <c r="S180" s="5">
        <v>1.7912699234546151E-2</v>
      </c>
      <c r="T180" s="5">
        <v>0.94474936889968242</v>
      </c>
      <c r="U180" s="5">
        <v>0.96009768818305286</v>
      </c>
      <c r="V180" s="5">
        <v>1.1093542537929379</v>
      </c>
      <c r="W180" s="4">
        <v>1.1824904816554049</v>
      </c>
      <c r="X180" s="6">
        <v>121886.3827459148</v>
      </c>
      <c r="Y180" s="6">
        <v>22946.178962649461</v>
      </c>
      <c r="Z180" s="6">
        <v>5304.3196265590286</v>
      </c>
      <c r="AA180" s="6">
        <v>152793.70278873481</v>
      </c>
      <c r="AB180" s="6">
        <v>962.87621373136665</v>
      </c>
      <c r="AC180" s="3" t="s">
        <v>228</v>
      </c>
      <c r="AD180" s="3" t="s">
        <v>41</v>
      </c>
    </row>
    <row r="181" spans="1:30">
      <c r="A181" s="2">
        <v>46101</v>
      </c>
      <c r="B181" s="3" t="s">
        <v>30</v>
      </c>
      <c r="C181" s="3" t="s">
        <v>56</v>
      </c>
      <c r="D181" s="3" t="s">
        <v>45</v>
      </c>
      <c r="E181" s="3" t="s">
        <v>46</v>
      </c>
      <c r="F181" s="3" t="s">
        <v>47</v>
      </c>
      <c r="G181" s="4">
        <v>147.51588825659769</v>
      </c>
      <c r="H181" s="4">
        <v>135.15486655720949</v>
      </c>
      <c r="I181" s="4">
        <v>145.7384150692412</v>
      </c>
      <c r="J181" s="4">
        <v>7.5935794007631374</v>
      </c>
      <c r="K181" s="4">
        <v>7.4463601744806409</v>
      </c>
      <c r="L181" s="4">
        <v>8.8331535769497513</v>
      </c>
      <c r="M181" s="4">
        <v>17.454976157413441</v>
      </c>
      <c r="N181" s="4">
        <v>129.97603930507259</v>
      </c>
      <c r="O181" s="4">
        <v>2367.6421244038129</v>
      </c>
      <c r="P181" s="5">
        <v>7.2620170234480835E-2</v>
      </c>
      <c r="Q181" s="5">
        <v>0.92737982976551903</v>
      </c>
      <c r="R181" s="5">
        <v>3.240385536411669E-2</v>
      </c>
      <c r="S181" s="5">
        <v>8.1033848506600111E-3</v>
      </c>
      <c r="T181" s="5">
        <v>0.98</v>
      </c>
      <c r="U181" s="5">
        <v>0.8733390386535701</v>
      </c>
      <c r="V181" s="5">
        <v>0.91620548914780753</v>
      </c>
      <c r="W181" s="4">
        <v>1.039844476565265</v>
      </c>
      <c r="X181" s="6">
        <v>109066.980418156</v>
      </c>
      <c r="Y181" s="6">
        <v>22420.60197924454</v>
      </c>
      <c r="Z181" s="6">
        <v>4868.2630104586478</v>
      </c>
      <c r="AA181" s="6">
        <v>139959.46448314391</v>
      </c>
      <c r="AB181" s="6">
        <v>1035.5488340769491</v>
      </c>
      <c r="AC181" s="3" t="s">
        <v>229</v>
      </c>
      <c r="AD181" s="3" t="s">
        <v>43</v>
      </c>
    </row>
    <row r="182" spans="1:30">
      <c r="A182" s="2">
        <v>46102</v>
      </c>
      <c r="B182" s="3" t="s">
        <v>30</v>
      </c>
      <c r="C182" s="3" t="s">
        <v>44</v>
      </c>
      <c r="D182" s="3" t="s">
        <v>32</v>
      </c>
      <c r="E182" s="3" t="s">
        <v>38</v>
      </c>
      <c r="F182" s="3" t="s">
        <v>39</v>
      </c>
      <c r="G182" s="4">
        <v>56.140924352103269</v>
      </c>
      <c r="H182" s="4">
        <v>107.34718328695691</v>
      </c>
      <c r="I182" s="4">
        <v>112.01725720669511</v>
      </c>
      <c r="J182" s="4">
        <v>8.067404574525824</v>
      </c>
      <c r="K182" s="4">
        <v>7.9568122793812499</v>
      </c>
      <c r="L182" s="4">
        <v>6.6355377086744296</v>
      </c>
      <c r="M182" s="4">
        <v>16.686624402866311</v>
      </c>
      <c r="N182" s="4">
        <v>132.77233795014951</v>
      </c>
      <c r="O182" s="4">
        <v>1944.0845714548741</v>
      </c>
      <c r="P182" s="5">
        <v>4.1690664779632243E-2</v>
      </c>
      <c r="Q182" s="5">
        <v>0.95830933522036776</v>
      </c>
      <c r="R182" s="5">
        <v>2.487606653665304E-2</v>
      </c>
      <c r="S182" s="5">
        <v>1.8807923763456622E-2</v>
      </c>
      <c r="T182" s="5">
        <v>0.74398102105582031</v>
      </c>
      <c r="U182" s="5">
        <v>0.7559802737156468</v>
      </c>
      <c r="V182" s="5">
        <v>1.9121021701334919</v>
      </c>
      <c r="W182" s="4">
        <v>0.80850563411229004</v>
      </c>
      <c r="X182" s="6">
        <v>78942.031739253624</v>
      </c>
      <c r="Y182" s="6">
        <v>23947.353391024189</v>
      </c>
      <c r="Z182" s="6">
        <v>4127.2466866719433</v>
      </c>
      <c r="AA182" s="6">
        <v>112467.0544687435</v>
      </c>
      <c r="AB182" s="6">
        <v>1047.69450883588</v>
      </c>
      <c r="AC182" s="3" t="s">
        <v>230</v>
      </c>
      <c r="AD182" s="3" t="s">
        <v>43</v>
      </c>
    </row>
    <row r="183" spans="1:30">
      <c r="A183" s="2">
        <v>46103</v>
      </c>
      <c r="B183" s="3" t="s">
        <v>30</v>
      </c>
      <c r="C183" s="3" t="s">
        <v>44</v>
      </c>
      <c r="D183" s="3" t="s">
        <v>45</v>
      </c>
      <c r="E183" s="3" t="s">
        <v>33</v>
      </c>
      <c r="F183" s="3" t="s">
        <v>34</v>
      </c>
      <c r="G183" s="4">
        <v>127.27810950810689</v>
      </c>
      <c r="H183" s="4">
        <v>128.04285230427939</v>
      </c>
      <c r="I183" s="4">
        <v>134.81951058895729</v>
      </c>
      <c r="J183" s="4">
        <v>7.8702860951716982</v>
      </c>
      <c r="K183" s="4">
        <v>7.4377554213533248</v>
      </c>
      <c r="L183" s="4">
        <v>25.951840429102401</v>
      </c>
      <c r="M183" s="4">
        <v>15.67527193661679</v>
      </c>
      <c r="N183" s="4">
        <v>116.5888388277592</v>
      </c>
      <c r="O183" s="4">
        <v>2292.8585138411181</v>
      </c>
      <c r="P183" s="5">
        <v>5.0264670558988242E-2</v>
      </c>
      <c r="Q183" s="5">
        <v>0.94973532944101191</v>
      </c>
      <c r="R183" s="5">
        <v>2.5556100311112429E-2</v>
      </c>
      <c r="S183" s="5">
        <v>9.9794281759107966E-3</v>
      </c>
      <c r="T183" s="5">
        <v>0.84923122820766828</v>
      </c>
      <c r="U183" s="5">
        <v>0.799324587341811</v>
      </c>
      <c r="V183" s="5">
        <v>1.0060084393076549</v>
      </c>
      <c r="W183" s="4">
        <v>1.0982427957228531</v>
      </c>
      <c r="X183" s="6">
        <v>87567.995082686684</v>
      </c>
      <c r="Y183" s="6">
        <v>19212.3021335331</v>
      </c>
      <c r="Z183" s="6">
        <v>6048.186719356695</v>
      </c>
      <c r="AA183" s="6">
        <v>119524.9476970526</v>
      </c>
      <c r="AB183" s="6">
        <v>933.47614135473214</v>
      </c>
      <c r="AC183" s="3" t="s">
        <v>231</v>
      </c>
      <c r="AD183" s="3" t="s">
        <v>36</v>
      </c>
    </row>
    <row r="184" spans="1:30">
      <c r="A184" s="2">
        <v>46104</v>
      </c>
      <c r="B184" s="3" t="s">
        <v>30</v>
      </c>
      <c r="C184" s="3" t="s">
        <v>63</v>
      </c>
      <c r="D184" s="3" t="s">
        <v>32</v>
      </c>
      <c r="E184" s="3" t="s">
        <v>33</v>
      </c>
      <c r="F184" s="3" t="s">
        <v>34</v>
      </c>
      <c r="G184" s="4">
        <v>115.28164778502109</v>
      </c>
      <c r="H184" s="4">
        <v>121.4758911435375</v>
      </c>
      <c r="I184" s="4">
        <v>126.35540121381121</v>
      </c>
      <c r="J184" s="4">
        <v>7.2124484275709042</v>
      </c>
      <c r="K184" s="4">
        <v>6.9197009650913044</v>
      </c>
      <c r="L184" s="4">
        <v>17.564847748775978</v>
      </c>
      <c r="M184" s="4">
        <v>16.034478024419499</v>
      </c>
      <c r="N184" s="4">
        <v>110.9537930603109</v>
      </c>
      <c r="O184" s="4">
        <v>2219.0884476462911</v>
      </c>
      <c r="P184" s="5">
        <v>3.8617344596270538E-2</v>
      </c>
      <c r="Q184" s="5">
        <v>0.96138265540372947</v>
      </c>
      <c r="R184" s="5">
        <v>1.1987437064754631E-2</v>
      </c>
      <c r="S184" s="5">
        <v>1.9955766661587621E-2</v>
      </c>
      <c r="T184" s="5">
        <v>0.89237363403433312</v>
      </c>
      <c r="U184" s="5">
        <v>0.88102110658445631</v>
      </c>
      <c r="V184" s="5">
        <v>1.053731391574724</v>
      </c>
      <c r="W184" s="4">
        <v>1.0948331534507081</v>
      </c>
      <c r="X184" s="6">
        <v>110109.8712876535</v>
      </c>
      <c r="Y184" s="6">
        <v>18019.666583011229</v>
      </c>
      <c r="Z184" s="6">
        <v>4495.4293474763808</v>
      </c>
      <c r="AA184" s="6">
        <v>136027.80499425789</v>
      </c>
      <c r="AB184" s="6">
        <v>1119.7926083417301</v>
      </c>
      <c r="AC184" s="3" t="s">
        <v>232</v>
      </c>
      <c r="AD184" s="3" t="s">
        <v>41</v>
      </c>
    </row>
    <row r="185" spans="1:30">
      <c r="A185" s="2">
        <v>46105</v>
      </c>
      <c r="B185" s="3" t="s">
        <v>30</v>
      </c>
      <c r="C185" s="3" t="s">
        <v>31</v>
      </c>
      <c r="D185" s="3" t="s">
        <v>37</v>
      </c>
      <c r="E185" s="3" t="s">
        <v>33</v>
      </c>
      <c r="F185" s="3" t="s">
        <v>34</v>
      </c>
      <c r="G185" s="4">
        <v>83.41507390300761</v>
      </c>
      <c r="H185" s="4">
        <v>113.4667352245813</v>
      </c>
      <c r="I185" s="4">
        <v>117.9503727536943</v>
      </c>
      <c r="J185" s="4">
        <v>7.4317083197378881</v>
      </c>
      <c r="K185" s="4">
        <v>7.233875099810291</v>
      </c>
      <c r="L185" s="4">
        <v>11.86999319565585</v>
      </c>
      <c r="M185" s="4">
        <v>17.482696177115962</v>
      </c>
      <c r="N185" s="4">
        <v>126.46764055318771</v>
      </c>
      <c r="O185" s="4">
        <v>2039.606479394266</v>
      </c>
      <c r="P185" s="5">
        <v>3.8012915300197743E-2</v>
      </c>
      <c r="Q185" s="5">
        <v>0.96198708469980221</v>
      </c>
      <c r="R185" s="5">
        <v>1.334250010895862E-2</v>
      </c>
      <c r="S185" s="5">
        <v>1.5470847986184789E-2</v>
      </c>
      <c r="T185" s="5">
        <v>0.78351298028884642</v>
      </c>
      <c r="U185" s="5">
        <v>0.78839965366333975</v>
      </c>
      <c r="V185" s="5">
        <v>1.360266555137466</v>
      </c>
      <c r="W185" s="4">
        <v>0.89719974792177248</v>
      </c>
      <c r="X185" s="6">
        <v>101632.8919968648</v>
      </c>
      <c r="Y185" s="6">
        <v>21442.33576441769</v>
      </c>
      <c r="Z185" s="6">
        <v>4332.1460531652401</v>
      </c>
      <c r="AA185" s="6">
        <v>131625.4412591086</v>
      </c>
      <c r="AB185" s="6">
        <v>1160.0355029038799</v>
      </c>
      <c r="AC185" s="3" t="s">
        <v>233</v>
      </c>
      <c r="AD185" s="3" t="s">
        <v>49</v>
      </c>
    </row>
    <row r="186" spans="1:30">
      <c r="A186" s="2">
        <v>46106</v>
      </c>
      <c r="B186" s="3" t="s">
        <v>30</v>
      </c>
      <c r="C186" s="3" t="s">
        <v>56</v>
      </c>
      <c r="D186" s="3" t="s">
        <v>45</v>
      </c>
      <c r="E186" s="3" t="s">
        <v>38</v>
      </c>
      <c r="F186" s="3" t="s">
        <v>39</v>
      </c>
      <c r="G186" s="4">
        <v>115.72883576973661</v>
      </c>
      <c r="H186" s="4">
        <v>114.2906830024215</v>
      </c>
      <c r="I186" s="4">
        <v>122.9665263102562</v>
      </c>
      <c r="J186" s="4">
        <v>7.9341930240565741</v>
      </c>
      <c r="K186" s="4">
        <v>7.7959771472099089</v>
      </c>
      <c r="L186" s="4">
        <v>8.2929526107999223</v>
      </c>
      <c r="M186" s="4">
        <v>17.44832305066582</v>
      </c>
      <c r="N186" s="4">
        <v>136.02672776012659</v>
      </c>
      <c r="O186" s="4">
        <v>1873.9996401978181</v>
      </c>
      <c r="P186" s="5">
        <v>7.0554512420271817E-2</v>
      </c>
      <c r="Q186" s="5">
        <v>0.92944548757972822</v>
      </c>
      <c r="R186" s="5">
        <v>4.3501844236694232E-2</v>
      </c>
      <c r="S186" s="5">
        <v>6.5554286759006561E-3</v>
      </c>
      <c r="T186" s="5">
        <v>0.79646347237932746</v>
      </c>
      <c r="U186" s="5">
        <v>0.76779723399907973</v>
      </c>
      <c r="V186" s="5">
        <v>0.98757308187065351</v>
      </c>
      <c r="W186" s="4">
        <v>0.84020754512278617</v>
      </c>
      <c r="X186" s="6">
        <v>103010.6204397304</v>
      </c>
      <c r="Y186" s="6">
        <v>21729.679070655649</v>
      </c>
      <c r="Z186" s="6">
        <v>3880.2940494796671</v>
      </c>
      <c r="AA186" s="6">
        <v>131442.50329945411</v>
      </c>
      <c r="AB186" s="6">
        <v>1150.0719030322809</v>
      </c>
      <c r="AC186" s="3" t="s">
        <v>234</v>
      </c>
      <c r="AD186" s="3" t="s">
        <v>49</v>
      </c>
    </row>
    <row r="187" spans="1:30">
      <c r="A187" s="2">
        <v>46107</v>
      </c>
      <c r="B187" s="3" t="s">
        <v>30</v>
      </c>
      <c r="C187" s="3" t="s">
        <v>56</v>
      </c>
      <c r="D187" s="3" t="s">
        <v>32</v>
      </c>
      <c r="E187" s="3" t="s">
        <v>33</v>
      </c>
      <c r="F187" s="3" t="s">
        <v>34</v>
      </c>
      <c r="G187" s="4">
        <v>118.50602148323409</v>
      </c>
      <c r="H187" s="4">
        <v>92.127073418769612</v>
      </c>
      <c r="I187" s="4">
        <v>96.027142338637304</v>
      </c>
      <c r="J187" s="4">
        <v>8.0838850127075634</v>
      </c>
      <c r="K187" s="4">
        <v>7.8832407684250319</v>
      </c>
      <c r="L187" s="4">
        <v>12.03865465695187</v>
      </c>
      <c r="M187" s="4">
        <v>12.708146519496321</v>
      </c>
      <c r="N187" s="4">
        <v>100.18137873361211</v>
      </c>
      <c r="O187" s="4">
        <v>1769.4014665000279</v>
      </c>
      <c r="P187" s="5">
        <v>4.0614234943222638E-2</v>
      </c>
      <c r="Q187" s="5">
        <v>0.95938576505677742</v>
      </c>
      <c r="R187" s="5">
        <v>7.7583602401520221E-3</v>
      </c>
      <c r="S187" s="5">
        <v>9.3378237611251996E-3</v>
      </c>
      <c r="T187" s="5">
        <v>0.7017799510274767</v>
      </c>
      <c r="U187" s="5">
        <v>0.5270575747506292</v>
      </c>
      <c r="V187" s="5">
        <v>0.7774041543686746</v>
      </c>
      <c r="W187" s="4">
        <v>0.91960277032861237</v>
      </c>
      <c r="X187" s="6">
        <v>82979.790654175609</v>
      </c>
      <c r="Y187" s="6">
        <v>14569.30522765374</v>
      </c>
      <c r="Z187" s="6">
        <v>4161.6743113913817</v>
      </c>
      <c r="AA187" s="6">
        <v>105252.7307529839</v>
      </c>
      <c r="AB187" s="6">
        <v>1142.4733994810711</v>
      </c>
      <c r="AC187" s="3" t="s">
        <v>235</v>
      </c>
      <c r="AD187" s="3" t="s">
        <v>41</v>
      </c>
    </row>
    <row r="188" spans="1:30">
      <c r="A188" s="2">
        <v>46108</v>
      </c>
      <c r="B188" s="3" t="s">
        <v>30</v>
      </c>
      <c r="C188" s="3" t="s">
        <v>31</v>
      </c>
      <c r="D188" s="3" t="s">
        <v>45</v>
      </c>
      <c r="E188" s="3" t="s">
        <v>33</v>
      </c>
      <c r="F188" s="3" t="s">
        <v>34</v>
      </c>
      <c r="G188" s="4">
        <v>136.92403420323569</v>
      </c>
      <c r="H188" s="4">
        <v>127.4900237545461</v>
      </c>
      <c r="I188" s="4">
        <v>132.75159746380169</v>
      </c>
      <c r="J188" s="4">
        <v>7.4762104270305523</v>
      </c>
      <c r="K188" s="4">
        <v>7.2015396901647852</v>
      </c>
      <c r="L188" s="4">
        <v>16.480244211946019</v>
      </c>
      <c r="M188" s="4">
        <v>12.99569374940322</v>
      </c>
      <c r="N188" s="4">
        <v>93.589004337553675</v>
      </c>
      <c r="O188" s="4">
        <v>2176.4270580611192</v>
      </c>
      <c r="P188" s="5">
        <v>3.9634729899881392E-2</v>
      </c>
      <c r="Q188" s="5">
        <v>0.96036527010011863</v>
      </c>
      <c r="R188" s="5">
        <v>2.3883391518292059E-2</v>
      </c>
      <c r="S188" s="5">
        <v>2.233162351317482E-2</v>
      </c>
      <c r="T188" s="5">
        <v>0.9254719226630701</v>
      </c>
      <c r="U188" s="5">
        <v>0.81151242370390453</v>
      </c>
      <c r="V188" s="5">
        <v>0.93110040539203875</v>
      </c>
      <c r="W188" s="4">
        <v>1.362232931709791</v>
      </c>
      <c r="X188" s="6">
        <v>86924.537733449688</v>
      </c>
      <c r="Y188" s="6">
        <v>13902.24604683641</v>
      </c>
      <c r="Z188" s="6">
        <v>4778.7807964901403</v>
      </c>
      <c r="AA188" s="6">
        <v>112421.20765779979</v>
      </c>
      <c r="AB188" s="6">
        <v>881.80395882772757</v>
      </c>
      <c r="AC188" s="3" t="s">
        <v>236</v>
      </c>
      <c r="AD188" s="3" t="s">
        <v>41</v>
      </c>
    </row>
    <row r="189" spans="1:30">
      <c r="A189" s="2">
        <v>46109</v>
      </c>
      <c r="B189" s="3" t="s">
        <v>30</v>
      </c>
      <c r="C189" s="3" t="s">
        <v>44</v>
      </c>
      <c r="D189" s="3" t="s">
        <v>45</v>
      </c>
      <c r="E189" s="3" t="s">
        <v>33</v>
      </c>
      <c r="F189" s="3" t="s">
        <v>34</v>
      </c>
      <c r="G189" s="4">
        <v>132.4892937299191</v>
      </c>
      <c r="H189" s="4">
        <v>178.39597961991061</v>
      </c>
      <c r="I189" s="4">
        <v>183.91615909822309</v>
      </c>
      <c r="J189" s="4">
        <v>8.2696479895974004</v>
      </c>
      <c r="K189" s="4">
        <v>7.9983459477982413</v>
      </c>
      <c r="L189" s="4">
        <v>16.27812250794954</v>
      </c>
      <c r="M189" s="4">
        <v>17.718223220815439</v>
      </c>
      <c r="N189" s="4">
        <v>141.71647890039389</v>
      </c>
      <c r="O189" s="4">
        <v>2749.1210505390591</v>
      </c>
      <c r="P189" s="5">
        <v>3.0014651814060329E-2</v>
      </c>
      <c r="Q189" s="5">
        <v>0.96998534818593951</v>
      </c>
      <c r="R189" s="5">
        <v>1.90054117332993E-2</v>
      </c>
      <c r="S189" s="5">
        <v>7.8257967390641184E-3</v>
      </c>
      <c r="T189" s="5">
        <v>0.98</v>
      </c>
      <c r="U189" s="5">
        <v>0.98745307556752526</v>
      </c>
      <c r="V189" s="5">
        <v>1.346493551271946</v>
      </c>
      <c r="W189" s="4">
        <v>1.258823116437271</v>
      </c>
      <c r="X189" s="6">
        <v>114183.31339155461</v>
      </c>
      <c r="Y189" s="6">
        <v>24933.095889845281</v>
      </c>
      <c r="Z189" s="6">
        <v>5991.0693427688593</v>
      </c>
      <c r="AA189" s="6">
        <v>148730.37231084559</v>
      </c>
      <c r="AB189" s="6">
        <v>833.70921602454041</v>
      </c>
      <c r="AC189" s="3" t="s">
        <v>237</v>
      </c>
      <c r="AD189" s="3" t="s">
        <v>43</v>
      </c>
    </row>
    <row r="190" spans="1:30">
      <c r="A190" s="2">
        <v>46110</v>
      </c>
      <c r="B190" s="3" t="s">
        <v>30</v>
      </c>
      <c r="C190" s="3" t="s">
        <v>44</v>
      </c>
      <c r="D190" s="3" t="s">
        <v>45</v>
      </c>
      <c r="E190" s="3" t="s">
        <v>33</v>
      </c>
      <c r="F190" s="3" t="s">
        <v>34</v>
      </c>
      <c r="G190" s="4">
        <v>55.414423798928567</v>
      </c>
      <c r="H190" s="4">
        <v>100.1567324002841</v>
      </c>
      <c r="I190" s="4">
        <v>104.123167939445</v>
      </c>
      <c r="J190" s="4">
        <v>7.8222401993452397</v>
      </c>
      <c r="K190" s="4">
        <v>7.7070312576253936</v>
      </c>
      <c r="L190" s="4">
        <v>6.912536503190748</v>
      </c>
      <c r="M190" s="4">
        <v>14.967577237127481</v>
      </c>
      <c r="N190" s="4">
        <v>115.3555856174638</v>
      </c>
      <c r="O190" s="4">
        <v>1858.595296502398</v>
      </c>
      <c r="P190" s="5">
        <v>3.8093688634864203E-2</v>
      </c>
      <c r="Q190" s="5">
        <v>0.96190631136513582</v>
      </c>
      <c r="R190" s="5">
        <v>1.5147510917177609E-2</v>
      </c>
      <c r="S190" s="5">
        <v>4.6517140296388126E-3</v>
      </c>
      <c r="T190" s="5">
        <v>0.90880485328609739</v>
      </c>
      <c r="U190" s="5">
        <v>0.93581711181001781</v>
      </c>
      <c r="V190" s="5">
        <v>1.807412683089572</v>
      </c>
      <c r="W190" s="4">
        <v>0.86824345664906621</v>
      </c>
      <c r="X190" s="6">
        <v>71945.511107383165</v>
      </c>
      <c r="Y190" s="6">
        <v>19456.338762384759</v>
      </c>
      <c r="Z190" s="6">
        <v>4137.3364677222999</v>
      </c>
      <c r="AA190" s="6">
        <v>102325.5939542071</v>
      </c>
      <c r="AB190" s="6">
        <v>1021.654675646316</v>
      </c>
      <c r="AC190" s="3" t="s">
        <v>238</v>
      </c>
      <c r="AD190" s="3" t="s">
        <v>41</v>
      </c>
    </row>
    <row r="191" spans="1:30">
      <c r="A191" s="2">
        <v>46111</v>
      </c>
      <c r="B191" s="3" t="s">
        <v>30</v>
      </c>
      <c r="C191" s="3" t="s">
        <v>56</v>
      </c>
      <c r="D191" s="3" t="s">
        <v>45</v>
      </c>
      <c r="E191" s="3" t="s">
        <v>33</v>
      </c>
      <c r="F191" s="3" t="s">
        <v>34</v>
      </c>
      <c r="G191" s="4">
        <v>102.8948156199389</v>
      </c>
      <c r="H191" s="4">
        <v>104.7450031519429</v>
      </c>
      <c r="I191" s="4">
        <v>111.8615313767106</v>
      </c>
      <c r="J191" s="4">
        <v>7.6173131530826677</v>
      </c>
      <c r="K191" s="4">
        <v>7.46871657206988</v>
      </c>
      <c r="L191" s="4">
        <v>8.9157948607672388</v>
      </c>
      <c r="M191" s="4">
        <v>17.60219763094528</v>
      </c>
      <c r="N191" s="4">
        <v>131.4658251510902</v>
      </c>
      <c r="O191" s="4">
        <v>2028.81007610649</v>
      </c>
      <c r="P191" s="5">
        <v>6.3619084569848078E-2</v>
      </c>
      <c r="Q191" s="5">
        <v>0.93638091543015189</v>
      </c>
      <c r="R191" s="5">
        <v>2.117972118677211E-2</v>
      </c>
      <c r="S191" s="5">
        <v>1.0581848505722609E-2</v>
      </c>
      <c r="T191" s="5">
        <v>0.86817221848552206</v>
      </c>
      <c r="U191" s="5">
        <v>0.85737289071163902</v>
      </c>
      <c r="V191" s="5">
        <v>1.0179813484368161</v>
      </c>
      <c r="W191" s="4">
        <v>0.79674701034707873</v>
      </c>
      <c r="X191" s="6">
        <v>88833.632200238528</v>
      </c>
      <c r="Y191" s="6">
        <v>23535.715690244291</v>
      </c>
      <c r="Z191" s="6">
        <v>5089.4567162425583</v>
      </c>
      <c r="AA191" s="6">
        <v>122087.0791103941</v>
      </c>
      <c r="AB191" s="6">
        <v>1165.5647089274021</v>
      </c>
      <c r="AC191" s="3" t="s">
        <v>239</v>
      </c>
      <c r="AD191" s="3" t="s">
        <v>43</v>
      </c>
    </row>
    <row r="192" spans="1:30">
      <c r="A192" s="2">
        <v>46112</v>
      </c>
      <c r="B192" s="3" t="s">
        <v>30</v>
      </c>
      <c r="C192" s="3" t="s">
        <v>44</v>
      </c>
      <c r="D192" s="3" t="s">
        <v>32</v>
      </c>
      <c r="E192" s="3" t="s">
        <v>38</v>
      </c>
      <c r="F192" s="3" t="s">
        <v>39</v>
      </c>
      <c r="G192" s="4">
        <v>59.565190949134553</v>
      </c>
      <c r="H192" s="4">
        <v>96.735715416088794</v>
      </c>
      <c r="I192" s="4">
        <v>100.5139092009609</v>
      </c>
      <c r="J192" s="4">
        <v>7.4713089108393742</v>
      </c>
      <c r="K192" s="4">
        <v>7.4302064175929274</v>
      </c>
      <c r="L192" s="4">
        <v>2.4661495947867831</v>
      </c>
      <c r="M192" s="4">
        <v>14.9730482913311</v>
      </c>
      <c r="N192" s="4">
        <v>111.25283950517711</v>
      </c>
      <c r="O192" s="4">
        <v>1799.614121828562</v>
      </c>
      <c r="P192" s="5">
        <v>3.758876572314223E-2</v>
      </c>
      <c r="Q192" s="5">
        <v>0.96241123427685782</v>
      </c>
      <c r="R192" s="5">
        <v>2.4685400336486162E-2</v>
      </c>
      <c r="S192" s="5">
        <v>2.261430460627958E-2</v>
      </c>
      <c r="T192" s="5">
        <v>0.81891384061788119</v>
      </c>
      <c r="U192" s="5">
        <v>0.83579097006586878</v>
      </c>
      <c r="V192" s="5">
        <v>1.6240309797494961</v>
      </c>
      <c r="W192" s="4">
        <v>0.86951232747265939</v>
      </c>
      <c r="X192" s="6">
        <v>75172.456435440472</v>
      </c>
      <c r="Y192" s="6">
        <v>20643.024374488072</v>
      </c>
      <c r="Z192" s="6">
        <v>4801.8225317657343</v>
      </c>
      <c r="AA192" s="6">
        <v>104023.31920248221</v>
      </c>
      <c r="AB192" s="6">
        <v>1075.3351929537851</v>
      </c>
      <c r="AC192" s="3" t="s">
        <v>240</v>
      </c>
      <c r="AD192" s="3" t="s">
        <v>36</v>
      </c>
    </row>
    <row r="193" spans="1:30">
      <c r="A193" s="2">
        <v>46113</v>
      </c>
      <c r="B193" s="3" t="s">
        <v>30</v>
      </c>
      <c r="C193" s="3" t="s">
        <v>44</v>
      </c>
      <c r="D193" s="3" t="s">
        <v>37</v>
      </c>
      <c r="E193" s="3" t="s">
        <v>46</v>
      </c>
      <c r="F193" s="3" t="s">
        <v>47</v>
      </c>
      <c r="G193" s="4">
        <v>141.76061913866781</v>
      </c>
      <c r="H193" s="4">
        <v>122.4735832927056</v>
      </c>
      <c r="I193" s="4">
        <v>129.2239385843813</v>
      </c>
      <c r="J193" s="4">
        <v>8.3706661488391951</v>
      </c>
      <c r="K193" s="4">
        <v>8.2310778486888641</v>
      </c>
      <c r="L193" s="4">
        <v>8.3752980090198861</v>
      </c>
      <c r="M193" s="4">
        <v>19.54463394779523</v>
      </c>
      <c r="N193" s="4">
        <v>160.87340354842971</v>
      </c>
      <c r="O193" s="4">
        <v>2049.3355021533798</v>
      </c>
      <c r="P193" s="5">
        <v>5.2237653221410052E-2</v>
      </c>
      <c r="Q193" s="5">
        <v>0.94776234677859006</v>
      </c>
      <c r="R193" s="5">
        <v>7.4344325143682437E-3</v>
      </c>
      <c r="S193" s="5">
        <v>8.4975341142267038E-3</v>
      </c>
      <c r="T193" s="5">
        <v>0.75525901679601071</v>
      </c>
      <c r="U193" s="5">
        <v>0.6361700639352933</v>
      </c>
      <c r="V193" s="5">
        <v>0.86394644744676252</v>
      </c>
      <c r="W193" s="4">
        <v>0.76130410988560848</v>
      </c>
      <c r="X193" s="6">
        <v>104239.42754950331</v>
      </c>
      <c r="Y193" s="6">
        <v>23659.653228416009</v>
      </c>
      <c r="Z193" s="6">
        <v>5049.8401059352536</v>
      </c>
      <c r="AA193" s="6">
        <v>139871.20941199199</v>
      </c>
      <c r="AB193" s="6">
        <v>1142.052070753143</v>
      </c>
      <c r="AC193" s="3" t="s">
        <v>241</v>
      </c>
      <c r="AD193" s="3" t="s">
        <v>49</v>
      </c>
    </row>
    <row r="194" spans="1:30">
      <c r="A194" s="2">
        <v>46114</v>
      </c>
      <c r="B194" s="3" t="s">
        <v>30</v>
      </c>
      <c r="C194" s="3" t="s">
        <v>44</v>
      </c>
      <c r="D194" s="3" t="s">
        <v>32</v>
      </c>
      <c r="E194" s="3" t="s">
        <v>46</v>
      </c>
      <c r="F194" s="3" t="s">
        <v>47</v>
      </c>
      <c r="G194" s="4">
        <v>145.81667482512759</v>
      </c>
      <c r="H194" s="4">
        <v>137.9967872611866</v>
      </c>
      <c r="I194" s="4">
        <v>143.69462816389679</v>
      </c>
      <c r="J194" s="4">
        <v>7.7929537630684704</v>
      </c>
      <c r="K194" s="4">
        <v>7.5931020735616128</v>
      </c>
      <c r="L194" s="4">
        <v>11.99110137041145</v>
      </c>
      <c r="M194" s="4">
        <v>20.941936492785381</v>
      </c>
      <c r="N194" s="4">
        <v>159.01426140776431</v>
      </c>
      <c r="O194" s="4">
        <v>2443.9798153962461</v>
      </c>
      <c r="P194" s="5">
        <v>3.9652428037959347E-2</v>
      </c>
      <c r="Q194" s="5">
        <v>0.96034757196204057</v>
      </c>
      <c r="R194" s="5">
        <v>2.8014950286572041E-2</v>
      </c>
      <c r="S194" s="5">
        <v>1.009669225981898E-2</v>
      </c>
      <c r="T194" s="5">
        <v>0.85414785803997739</v>
      </c>
      <c r="U194" s="5">
        <v>0.77965910555401563</v>
      </c>
      <c r="V194" s="5">
        <v>0.94637178790889898</v>
      </c>
      <c r="W194" s="4">
        <v>0.86782648323170153</v>
      </c>
      <c r="X194" s="6">
        <v>108522.6339260987</v>
      </c>
      <c r="Y194" s="6">
        <v>30829.279959958549</v>
      </c>
      <c r="Z194" s="6">
        <v>5078.575042296583</v>
      </c>
      <c r="AA194" s="6">
        <v>148979.72843729341</v>
      </c>
      <c r="AB194" s="6">
        <v>1079.5883831361909</v>
      </c>
      <c r="AC194" s="3" t="s">
        <v>242</v>
      </c>
      <c r="AD194" s="3" t="s">
        <v>43</v>
      </c>
    </row>
    <row r="195" spans="1:30">
      <c r="A195" s="2">
        <v>46115</v>
      </c>
      <c r="B195" s="3" t="s">
        <v>30</v>
      </c>
      <c r="C195" s="3" t="s">
        <v>56</v>
      </c>
      <c r="D195" s="3" t="s">
        <v>32</v>
      </c>
      <c r="E195" s="3" t="s">
        <v>33</v>
      </c>
      <c r="F195" s="3" t="s">
        <v>34</v>
      </c>
      <c r="G195" s="4">
        <v>89.094412607293833</v>
      </c>
      <c r="H195" s="4">
        <v>182.18671961586099</v>
      </c>
      <c r="I195" s="4">
        <v>196.71708574004521</v>
      </c>
      <c r="J195" s="4">
        <v>7.4386777738039331</v>
      </c>
      <c r="K195" s="4">
        <v>7.3191924292000179</v>
      </c>
      <c r="L195" s="4">
        <v>7.1691206762349022</v>
      </c>
      <c r="M195" s="4">
        <v>15.852929787959621</v>
      </c>
      <c r="N195" s="4">
        <v>116.03064368467351</v>
      </c>
      <c r="O195" s="4">
        <v>2583.7532483524369</v>
      </c>
      <c r="P195" s="5">
        <v>7.3864281130036388E-2</v>
      </c>
      <c r="Q195" s="5">
        <v>0.92613571886996349</v>
      </c>
      <c r="R195" s="5">
        <v>3.6040429451266141E-2</v>
      </c>
      <c r="S195" s="5">
        <v>9.0963412398139508E-3</v>
      </c>
      <c r="T195" s="5">
        <v>0.97151527678474081</v>
      </c>
      <c r="U195" s="5">
        <v>0.99457556247673029</v>
      </c>
      <c r="V195" s="5">
        <v>2.0448725602905662</v>
      </c>
      <c r="W195" s="4">
        <v>1.570160380312758</v>
      </c>
      <c r="X195" s="6">
        <v>156913.90908636659</v>
      </c>
      <c r="Y195" s="6">
        <v>18355.559524935641</v>
      </c>
      <c r="Z195" s="6">
        <v>7126.1103065778116</v>
      </c>
      <c r="AA195" s="6">
        <v>186690.35268076591</v>
      </c>
      <c r="AB195" s="6">
        <v>1024.719875709935</v>
      </c>
      <c r="AC195" s="3" t="s">
        <v>243</v>
      </c>
      <c r="AD195" s="3" t="s">
        <v>43</v>
      </c>
    </row>
    <row r="196" spans="1:30">
      <c r="A196" s="2">
        <v>46116</v>
      </c>
      <c r="B196" s="3" t="s">
        <v>30</v>
      </c>
      <c r="C196" s="3" t="s">
        <v>63</v>
      </c>
      <c r="D196" s="3" t="s">
        <v>37</v>
      </c>
      <c r="E196" s="3" t="s">
        <v>33</v>
      </c>
      <c r="F196" s="3" t="s">
        <v>34</v>
      </c>
      <c r="G196" s="4">
        <v>135.95395703727789</v>
      </c>
      <c r="H196" s="4">
        <v>118.451969749271</v>
      </c>
      <c r="I196" s="4">
        <v>121.66135843681759</v>
      </c>
      <c r="J196" s="4">
        <v>8.2757891158822758</v>
      </c>
      <c r="K196" s="4">
        <v>7.9474250347749491</v>
      </c>
      <c r="L196" s="4">
        <v>19.701844866439622</v>
      </c>
      <c r="M196" s="4">
        <v>15.77755100663077</v>
      </c>
      <c r="N196" s="4">
        <v>125.3909038575361</v>
      </c>
      <c r="O196" s="4">
        <v>1970.9434729543671</v>
      </c>
      <c r="P196" s="5">
        <v>2.6379688084885038E-2</v>
      </c>
      <c r="Q196" s="5">
        <v>0.973620311915115</v>
      </c>
      <c r="R196" s="5">
        <v>2.5523702180098959E-2</v>
      </c>
      <c r="S196" s="5">
        <v>2.0516118923397789E-2</v>
      </c>
      <c r="T196" s="5">
        <v>0.85681910362724867</v>
      </c>
      <c r="U196" s="5">
        <v>0.70218879248424892</v>
      </c>
      <c r="V196" s="5">
        <v>0.87126533372465209</v>
      </c>
      <c r="W196" s="4">
        <v>0.94466158313884663</v>
      </c>
      <c r="X196" s="6">
        <v>92407.139784211715</v>
      </c>
      <c r="Y196" s="6">
        <v>19616.36159209596</v>
      </c>
      <c r="Z196" s="6">
        <v>5185.83538865638</v>
      </c>
      <c r="AA196" s="6">
        <v>120144.4789599373</v>
      </c>
      <c r="AB196" s="6">
        <v>1014.2885695716921</v>
      </c>
      <c r="AC196" s="3" t="s">
        <v>244</v>
      </c>
      <c r="AD196" s="3" t="s">
        <v>41</v>
      </c>
    </row>
    <row r="197" spans="1:30">
      <c r="A197" s="2">
        <v>46117</v>
      </c>
      <c r="B197" s="3" t="s">
        <v>30</v>
      </c>
      <c r="C197" s="3" t="s">
        <v>44</v>
      </c>
      <c r="D197" s="3" t="s">
        <v>45</v>
      </c>
      <c r="E197" s="3" t="s">
        <v>33</v>
      </c>
      <c r="F197" s="3" t="s">
        <v>34</v>
      </c>
      <c r="G197" s="4">
        <v>68.881915531211106</v>
      </c>
      <c r="H197" s="4">
        <v>125.51922968062139</v>
      </c>
      <c r="I197" s="4">
        <v>130.28962356498991</v>
      </c>
      <c r="J197" s="4">
        <v>7.9655377338980076</v>
      </c>
      <c r="K197" s="4">
        <v>7.8023935001887699</v>
      </c>
      <c r="L197" s="4">
        <v>9.7886540225543079</v>
      </c>
      <c r="M197" s="4">
        <v>16.99285326723852</v>
      </c>
      <c r="N197" s="4">
        <v>132.5849278819633</v>
      </c>
      <c r="O197" s="4">
        <v>2220.7673151406998</v>
      </c>
      <c r="P197" s="5">
        <v>3.6613766728622363E-2</v>
      </c>
      <c r="Q197" s="5">
        <v>0.96338623327137762</v>
      </c>
      <c r="R197" s="5">
        <v>3.3051896032668802E-2</v>
      </c>
      <c r="S197" s="5">
        <v>1.025675531368272E-2</v>
      </c>
      <c r="T197" s="5">
        <v>0.82079975975316388</v>
      </c>
      <c r="U197" s="5">
        <v>0.83552955382599681</v>
      </c>
      <c r="V197" s="5">
        <v>1.8222377922075541</v>
      </c>
      <c r="W197" s="4">
        <v>0.94670813406760423</v>
      </c>
      <c r="X197" s="6">
        <v>96366.367153204701</v>
      </c>
      <c r="Y197" s="6">
        <v>24075.237396290031</v>
      </c>
      <c r="Z197" s="6">
        <v>6113.4275399569042</v>
      </c>
      <c r="AA197" s="6">
        <v>131034.71009326739</v>
      </c>
      <c r="AB197" s="6">
        <v>1043.9413182082139</v>
      </c>
      <c r="AC197" s="3" t="s">
        <v>245</v>
      </c>
      <c r="AD197" s="3" t="s">
        <v>43</v>
      </c>
    </row>
    <row r="198" spans="1:30">
      <c r="A198" s="2">
        <v>46118</v>
      </c>
      <c r="B198" s="3" t="s">
        <v>30</v>
      </c>
      <c r="C198" s="3" t="s">
        <v>31</v>
      </c>
      <c r="D198" s="3" t="s">
        <v>45</v>
      </c>
      <c r="E198" s="3" t="s">
        <v>46</v>
      </c>
      <c r="F198" s="3" t="s">
        <v>47</v>
      </c>
      <c r="G198" s="4">
        <v>75.863009489963588</v>
      </c>
      <c r="H198" s="4">
        <v>108.83887364549339</v>
      </c>
      <c r="I198" s="4">
        <v>116.9494917646318</v>
      </c>
      <c r="J198" s="4">
        <v>7.4079369197193783</v>
      </c>
      <c r="K198" s="4">
        <v>7.100645687403274</v>
      </c>
      <c r="L198" s="4">
        <v>18.437473938966271</v>
      </c>
      <c r="M198" s="4">
        <v>10.885064135646759</v>
      </c>
      <c r="N198" s="4">
        <v>77.290983711888245</v>
      </c>
      <c r="O198" s="4">
        <v>1901.682041461454</v>
      </c>
      <c r="P198" s="5">
        <v>6.935146101756072E-2</v>
      </c>
      <c r="Q198" s="5">
        <v>0.93064853898243927</v>
      </c>
      <c r="R198" s="5">
        <v>2.604157532385392E-2</v>
      </c>
      <c r="S198" s="5">
        <v>9.0077793900724783E-3</v>
      </c>
      <c r="T198" s="5">
        <v>0.82129275226721021</v>
      </c>
      <c r="U198" s="5">
        <v>0.81913993912057237</v>
      </c>
      <c r="V198" s="5">
        <v>1.4346764566450849</v>
      </c>
      <c r="W198" s="4">
        <v>1.4081703766535549</v>
      </c>
      <c r="X198" s="6">
        <v>77777.922476609354</v>
      </c>
      <c r="Y198" s="6">
        <v>12751.69176359779</v>
      </c>
      <c r="Z198" s="6">
        <v>5132.4561977094772</v>
      </c>
      <c r="AA198" s="6">
        <v>101184.5015338427</v>
      </c>
      <c r="AB198" s="6">
        <v>929.67244280217119</v>
      </c>
      <c r="AC198" s="3" t="s">
        <v>246</v>
      </c>
      <c r="AD198" s="3" t="s">
        <v>49</v>
      </c>
    </row>
    <row r="199" spans="1:30">
      <c r="A199" s="2">
        <v>46119</v>
      </c>
      <c r="B199" s="3" t="s">
        <v>30</v>
      </c>
      <c r="C199" s="3" t="s">
        <v>56</v>
      </c>
      <c r="D199" s="3" t="s">
        <v>32</v>
      </c>
      <c r="E199" s="3" t="s">
        <v>50</v>
      </c>
      <c r="F199" s="3" t="s">
        <v>51</v>
      </c>
      <c r="G199" s="4">
        <v>65.058845595218727</v>
      </c>
      <c r="H199" s="4">
        <v>128.53810151032829</v>
      </c>
      <c r="I199" s="4">
        <v>134.69581580548319</v>
      </c>
      <c r="J199" s="4">
        <v>7.5815999719796716</v>
      </c>
      <c r="K199" s="4">
        <v>7.2978932420707876</v>
      </c>
      <c r="L199" s="4">
        <v>17.022403794533069</v>
      </c>
      <c r="M199" s="4">
        <v>19.126705419165571</v>
      </c>
      <c r="N199" s="4">
        <v>139.5846542216072</v>
      </c>
      <c r="O199" s="4">
        <v>2226.2310487259851</v>
      </c>
      <c r="P199" s="5">
        <v>4.5715705854199033E-2</v>
      </c>
      <c r="Q199" s="5">
        <v>0.95428429414580096</v>
      </c>
      <c r="R199" s="5">
        <v>2.375492716389184E-2</v>
      </c>
      <c r="S199" s="5">
        <v>1.334755918349064E-2</v>
      </c>
      <c r="T199" s="5">
        <v>0.96432675553435543</v>
      </c>
      <c r="U199" s="5">
        <v>0.9616440529715401</v>
      </c>
      <c r="V199" s="5">
        <v>1.975720600855156</v>
      </c>
      <c r="W199" s="4">
        <v>0.92086126678552283</v>
      </c>
      <c r="X199" s="6">
        <v>97911.239799250048</v>
      </c>
      <c r="Y199" s="6">
        <v>24308.03078987401</v>
      </c>
      <c r="Z199" s="6">
        <v>5768.1909314648919</v>
      </c>
      <c r="AA199" s="6">
        <v>132698.25097014071</v>
      </c>
      <c r="AB199" s="6">
        <v>1032.365107395631</v>
      </c>
      <c r="AC199" s="3" t="s">
        <v>247</v>
      </c>
      <c r="AD199" s="3" t="s">
        <v>49</v>
      </c>
    </row>
    <row r="200" spans="1:30">
      <c r="A200" s="2">
        <v>46120</v>
      </c>
      <c r="B200" s="3" t="s">
        <v>30</v>
      </c>
      <c r="C200" s="3" t="s">
        <v>63</v>
      </c>
      <c r="D200" s="3" t="s">
        <v>45</v>
      </c>
      <c r="E200" s="3" t="s">
        <v>33</v>
      </c>
      <c r="F200" s="3" t="s">
        <v>34</v>
      </c>
      <c r="G200" s="4">
        <v>69.677987968785516</v>
      </c>
      <c r="H200" s="4">
        <v>105.2722972251043</v>
      </c>
      <c r="I200" s="4">
        <v>110.2066991554582</v>
      </c>
      <c r="J200" s="4">
        <v>8.1807672703932059</v>
      </c>
      <c r="K200" s="4">
        <v>7.6634297135598848</v>
      </c>
      <c r="L200" s="4">
        <v>31.040253409999281</v>
      </c>
      <c r="M200" s="4">
        <v>16.2938706355182</v>
      </c>
      <c r="N200" s="4">
        <v>124.86693237713111</v>
      </c>
      <c r="O200" s="4">
        <v>2054.5127655154611</v>
      </c>
      <c r="P200" s="5">
        <v>4.4774065171785463E-2</v>
      </c>
      <c r="Q200" s="5">
        <v>0.9552259348282145</v>
      </c>
      <c r="R200" s="5">
        <v>3.7793898385766543E-2</v>
      </c>
      <c r="S200" s="5">
        <v>1.2089546437349041E-3</v>
      </c>
      <c r="T200" s="5">
        <v>0.69432775856274631</v>
      </c>
      <c r="U200" s="5">
        <v>0.68211501275901498</v>
      </c>
      <c r="V200" s="5">
        <v>1.510840084421847</v>
      </c>
      <c r="W200" s="4">
        <v>0.84307586661258094</v>
      </c>
      <c r="X200" s="6">
        <v>93914.082229849446</v>
      </c>
      <c r="Y200" s="6">
        <v>22188.391927589211</v>
      </c>
      <c r="Z200" s="6">
        <v>5196.3608308325829</v>
      </c>
      <c r="AA200" s="6">
        <v>125465.66582181009</v>
      </c>
      <c r="AB200" s="6">
        <v>1191.8203471282311</v>
      </c>
      <c r="AC200" s="3" t="s">
        <v>248</v>
      </c>
      <c r="AD200" s="3" t="s">
        <v>43</v>
      </c>
    </row>
    <row r="201" spans="1:30">
      <c r="A201" s="2">
        <v>46121</v>
      </c>
      <c r="B201" s="3" t="s">
        <v>30</v>
      </c>
      <c r="C201" s="3" t="s">
        <v>44</v>
      </c>
      <c r="D201" s="3" t="s">
        <v>32</v>
      </c>
      <c r="E201" s="3" t="s">
        <v>33</v>
      </c>
      <c r="F201" s="3" t="s">
        <v>34</v>
      </c>
      <c r="G201" s="4">
        <v>63.67206448522218</v>
      </c>
      <c r="H201" s="4">
        <v>152.59234629560009</v>
      </c>
      <c r="I201" s="4">
        <v>156.9238008634193</v>
      </c>
      <c r="J201" s="4">
        <v>7.7000815125684907</v>
      </c>
      <c r="K201" s="4">
        <v>7.3626584180872419</v>
      </c>
      <c r="L201" s="4">
        <v>20.245385668874931</v>
      </c>
      <c r="M201" s="4">
        <v>19.76157053617645</v>
      </c>
      <c r="N201" s="4">
        <v>145.49769366280441</v>
      </c>
      <c r="O201" s="4">
        <v>2454.4199531207828</v>
      </c>
      <c r="P201" s="5">
        <v>2.760227922078658E-2</v>
      </c>
      <c r="Q201" s="5">
        <v>0.97239772077921349</v>
      </c>
      <c r="R201" s="5">
        <v>4.107032355996685E-2</v>
      </c>
      <c r="S201" s="5">
        <v>1.21457440833669E-2</v>
      </c>
      <c r="T201" s="5">
        <v>0.9548363558806402</v>
      </c>
      <c r="U201" s="5">
        <v>0.94700102853252088</v>
      </c>
      <c r="V201" s="5">
        <v>2.3965352392651829</v>
      </c>
      <c r="W201" s="4">
        <v>1.0487612721149919</v>
      </c>
      <c r="X201" s="6">
        <v>133895.08045105659</v>
      </c>
      <c r="Y201" s="6">
        <v>24570.113764690141</v>
      </c>
      <c r="Z201" s="6">
        <v>6552.0986909776402</v>
      </c>
      <c r="AA201" s="6">
        <v>170522.44240212059</v>
      </c>
      <c r="AB201" s="6">
        <v>1117.503246668653</v>
      </c>
      <c r="AC201" s="3" t="s">
        <v>249</v>
      </c>
      <c r="AD201" s="3" t="s">
        <v>43</v>
      </c>
    </row>
    <row r="202" spans="1:30">
      <c r="A202" s="2">
        <v>46122</v>
      </c>
      <c r="B202" s="3" t="s">
        <v>30</v>
      </c>
      <c r="C202" s="3" t="s">
        <v>44</v>
      </c>
      <c r="D202" s="3" t="s">
        <v>45</v>
      </c>
      <c r="E202" s="3" t="s">
        <v>50</v>
      </c>
      <c r="F202" s="3" t="s">
        <v>51</v>
      </c>
      <c r="G202" s="4">
        <v>67.007433995307593</v>
      </c>
      <c r="H202" s="4">
        <v>108.295528895898</v>
      </c>
      <c r="I202" s="4">
        <v>116.1146306377367</v>
      </c>
      <c r="J202" s="4">
        <v>8.2619520822996346</v>
      </c>
      <c r="K202" s="4">
        <v>8.2452854156329671</v>
      </c>
      <c r="L202" s="4">
        <v>1</v>
      </c>
      <c r="M202" s="4">
        <v>13.579314905632611</v>
      </c>
      <c r="N202" s="4">
        <v>111.9653271456999</v>
      </c>
      <c r="O202" s="4">
        <v>1912.4529825131669</v>
      </c>
      <c r="P202" s="5">
        <v>6.7339504926242078E-2</v>
      </c>
      <c r="Q202" s="5">
        <v>0.93266049507375792</v>
      </c>
      <c r="R202" s="5">
        <v>4.7899619107686989E-3</v>
      </c>
      <c r="S202" s="5">
        <v>6.3942151601439207E-3</v>
      </c>
      <c r="T202" s="5">
        <v>0.79175944845737967</v>
      </c>
      <c r="U202" s="5">
        <v>0.82436526996186266</v>
      </c>
      <c r="V202" s="5">
        <v>1.616171854953911</v>
      </c>
      <c r="W202" s="4">
        <v>0.96722379737232045</v>
      </c>
      <c r="X202" s="6">
        <v>76773.463336811095</v>
      </c>
      <c r="Y202" s="6">
        <v>17847.892492949941</v>
      </c>
      <c r="Z202" s="6">
        <v>4378.0376876502196</v>
      </c>
      <c r="AA202" s="6">
        <v>101717.30694212241</v>
      </c>
      <c r="AB202" s="6">
        <v>939.25675398751559</v>
      </c>
      <c r="AC202" s="3" t="s">
        <v>250</v>
      </c>
      <c r="AD202" s="3" t="s">
        <v>36</v>
      </c>
    </row>
    <row r="203" spans="1:30">
      <c r="A203" s="2">
        <v>46123</v>
      </c>
      <c r="B203" s="3" t="s">
        <v>30</v>
      </c>
      <c r="C203" s="3" t="s">
        <v>56</v>
      </c>
      <c r="D203" s="3" t="s">
        <v>37</v>
      </c>
      <c r="E203" s="3" t="s">
        <v>33</v>
      </c>
      <c r="F203" s="3" t="s">
        <v>34</v>
      </c>
      <c r="G203" s="4">
        <v>114.3646815401442</v>
      </c>
      <c r="H203" s="4">
        <v>90.376613422331786</v>
      </c>
      <c r="I203" s="4">
        <v>95.53309007370747</v>
      </c>
      <c r="J203" s="4">
        <v>7.327227026496467</v>
      </c>
      <c r="K203" s="4">
        <v>7.1374756014258516</v>
      </c>
      <c r="L203" s="4">
        <v>11.385085504236891</v>
      </c>
      <c r="M203" s="4">
        <v>13.46453978704209</v>
      </c>
      <c r="N203" s="4">
        <v>96.102824214440588</v>
      </c>
      <c r="O203" s="4">
        <v>1644.303711480301</v>
      </c>
      <c r="P203" s="5">
        <v>5.3975817671105028E-2</v>
      </c>
      <c r="Q203" s="5">
        <v>0.94602418232889507</v>
      </c>
      <c r="R203" s="5">
        <v>1.2741967732874291E-2</v>
      </c>
      <c r="S203" s="5">
        <v>1.2070848276570831E-2</v>
      </c>
      <c r="T203" s="5">
        <v>0.65082159870745393</v>
      </c>
      <c r="U203" s="5">
        <v>0.49494493625990521</v>
      </c>
      <c r="V203" s="5">
        <v>0.79024933401845643</v>
      </c>
      <c r="W203" s="4">
        <v>0.94041579070213865</v>
      </c>
      <c r="X203" s="6">
        <v>80049.197386978267</v>
      </c>
      <c r="Y203" s="6">
        <v>18337.925622786272</v>
      </c>
      <c r="Z203" s="6">
        <v>3591.2563712000342</v>
      </c>
      <c r="AA203" s="6">
        <v>105973.92802675829</v>
      </c>
      <c r="AB203" s="6">
        <v>1172.581312950286</v>
      </c>
      <c r="AC203" s="3" t="s">
        <v>251</v>
      </c>
      <c r="AD203" s="3" t="s">
        <v>49</v>
      </c>
    </row>
    <row r="204" spans="1:30">
      <c r="A204" s="2">
        <v>46124</v>
      </c>
      <c r="B204" s="3" t="s">
        <v>30</v>
      </c>
      <c r="C204" s="3" t="s">
        <v>31</v>
      </c>
      <c r="D204" s="3" t="s">
        <v>32</v>
      </c>
      <c r="E204" s="3" t="s">
        <v>50</v>
      </c>
      <c r="F204" s="3" t="s">
        <v>51</v>
      </c>
      <c r="G204" s="4">
        <v>137.32450772670401</v>
      </c>
      <c r="H204" s="4">
        <v>148.67095134254839</v>
      </c>
      <c r="I204" s="4">
        <v>153.74754150072681</v>
      </c>
      <c r="J204" s="4">
        <v>7.8749153494037589</v>
      </c>
      <c r="K204" s="4">
        <v>7.5362035576318034</v>
      </c>
      <c r="L204" s="4">
        <v>20.322707506317322</v>
      </c>
      <c r="M204" s="4">
        <v>12.294324925036079</v>
      </c>
      <c r="N204" s="4">
        <v>92.652535238738253</v>
      </c>
      <c r="O204" s="4">
        <v>2417.578685492344</v>
      </c>
      <c r="P204" s="5">
        <v>3.3019000555234539E-2</v>
      </c>
      <c r="Q204" s="5">
        <v>0.96698099944476545</v>
      </c>
      <c r="R204" s="5">
        <v>5.0250776192378097E-2</v>
      </c>
      <c r="S204" s="5">
        <v>1.9487301180243308E-2</v>
      </c>
      <c r="T204" s="5">
        <v>0.95183342838467377</v>
      </c>
      <c r="U204" s="5">
        <v>0.93779994153230362</v>
      </c>
      <c r="V204" s="5">
        <v>1.0826250448931189</v>
      </c>
      <c r="W204" s="4">
        <v>1.6046074827792589</v>
      </c>
      <c r="X204" s="6">
        <v>100410.2233853136</v>
      </c>
      <c r="Y204" s="6">
        <v>16933.643713275491</v>
      </c>
      <c r="Z204" s="6">
        <v>5552.5178085199432</v>
      </c>
      <c r="AA204" s="6">
        <v>129658.13076854299</v>
      </c>
      <c r="AB204" s="6">
        <v>872.11475811304558</v>
      </c>
      <c r="AC204" s="3" t="s">
        <v>252</v>
      </c>
      <c r="AD204" s="3" t="s">
        <v>49</v>
      </c>
    </row>
    <row r="205" spans="1:30">
      <c r="A205" s="2">
        <v>46125</v>
      </c>
      <c r="B205" s="3" t="s">
        <v>30</v>
      </c>
      <c r="C205" s="3" t="s">
        <v>31</v>
      </c>
      <c r="D205" s="3" t="s">
        <v>32</v>
      </c>
      <c r="E205" s="3" t="s">
        <v>33</v>
      </c>
      <c r="F205" s="3" t="s">
        <v>34</v>
      </c>
      <c r="G205" s="4">
        <v>55.96574177688769</v>
      </c>
      <c r="H205" s="4">
        <v>107.3932853530693</v>
      </c>
      <c r="I205" s="4">
        <v>112.4703582753372</v>
      </c>
      <c r="J205" s="4">
        <v>7.7983689840049326</v>
      </c>
      <c r="K205" s="4">
        <v>7.4665040567234522</v>
      </c>
      <c r="L205" s="4">
        <v>19.911895636888818</v>
      </c>
      <c r="M205" s="4">
        <v>13.718682487956791</v>
      </c>
      <c r="N205" s="4">
        <v>102.4305984492304</v>
      </c>
      <c r="O205" s="4">
        <v>2125.9378671885738</v>
      </c>
      <c r="P205" s="5">
        <v>4.5141431041223957E-2</v>
      </c>
      <c r="Q205" s="5">
        <v>0.95485856895877608</v>
      </c>
      <c r="R205" s="5">
        <v>1.7544634348895329E-2</v>
      </c>
      <c r="S205" s="5">
        <v>1.235463074139862E-2</v>
      </c>
      <c r="T205" s="5">
        <v>0.77989417165960639</v>
      </c>
      <c r="U205" s="5">
        <v>0.7743539728005312</v>
      </c>
      <c r="V205" s="5">
        <v>1.918911139982777</v>
      </c>
      <c r="W205" s="4">
        <v>1.0484492620268999</v>
      </c>
      <c r="X205" s="6">
        <v>73252.773895772989</v>
      </c>
      <c r="Y205" s="6">
        <v>16560.743559165079</v>
      </c>
      <c r="Z205" s="6">
        <v>4766.2215664610958</v>
      </c>
      <c r="AA205" s="6">
        <v>100445.522404049</v>
      </c>
      <c r="AB205" s="6">
        <v>935.30542504423249</v>
      </c>
      <c r="AC205" s="3" t="s">
        <v>253</v>
      </c>
      <c r="AD205" s="3" t="s">
        <v>36</v>
      </c>
    </row>
    <row r="206" spans="1:30">
      <c r="A206" s="2">
        <v>46126</v>
      </c>
      <c r="B206" s="3" t="s">
        <v>30</v>
      </c>
      <c r="C206" s="3" t="s">
        <v>31</v>
      </c>
      <c r="D206" s="3" t="s">
        <v>37</v>
      </c>
      <c r="E206" s="3" t="s">
        <v>33</v>
      </c>
      <c r="F206" s="3" t="s">
        <v>34</v>
      </c>
      <c r="G206" s="4">
        <v>121.6705586879753</v>
      </c>
      <c r="H206" s="4">
        <v>96.99951141559869</v>
      </c>
      <c r="I206" s="4">
        <v>100.22216446982389</v>
      </c>
      <c r="J206" s="4">
        <v>7.6978999948140414</v>
      </c>
      <c r="K206" s="4">
        <v>7.6181206223361624</v>
      </c>
      <c r="L206" s="4">
        <v>4.7867623486727533</v>
      </c>
      <c r="M206" s="4">
        <v>13.001967603578329</v>
      </c>
      <c r="N206" s="4">
        <v>99.050557531766742</v>
      </c>
      <c r="O206" s="4">
        <v>1798.862422898899</v>
      </c>
      <c r="P206" s="5">
        <v>3.2155093349590672E-2</v>
      </c>
      <c r="Q206" s="5">
        <v>0.96784490665040934</v>
      </c>
      <c r="R206" s="5">
        <v>2E-3</v>
      </c>
      <c r="S206" s="5">
        <v>1.0138061220104329E-2</v>
      </c>
      <c r="T206" s="5">
        <v>0.89696835195557423</v>
      </c>
      <c r="U206" s="5">
        <v>0.70050521047486336</v>
      </c>
      <c r="V206" s="5">
        <v>0.79723075542337529</v>
      </c>
      <c r="W206" s="4">
        <v>0.97929293719007837</v>
      </c>
      <c r="X206" s="6">
        <v>76179.002677166078</v>
      </c>
      <c r="Y206" s="6">
        <v>16955.530944796272</v>
      </c>
      <c r="Z206" s="6">
        <v>4211.2160442379864</v>
      </c>
      <c r="AA206" s="6">
        <v>103470.1970340689</v>
      </c>
      <c r="AB206" s="6">
        <v>1066.708435166712</v>
      </c>
      <c r="AC206" s="3" t="s">
        <v>254</v>
      </c>
      <c r="AD206" s="3" t="s">
        <v>41</v>
      </c>
    </row>
    <row r="207" spans="1:30">
      <c r="A207" s="2">
        <v>46127</v>
      </c>
      <c r="B207" s="3" t="s">
        <v>30</v>
      </c>
      <c r="C207" s="3" t="s">
        <v>63</v>
      </c>
      <c r="D207" s="3" t="s">
        <v>37</v>
      </c>
      <c r="E207" s="3" t="s">
        <v>33</v>
      </c>
      <c r="F207" s="3" t="s">
        <v>34</v>
      </c>
      <c r="G207" s="4">
        <v>122.5369016824819</v>
      </c>
      <c r="H207" s="4">
        <v>109.60236960600579</v>
      </c>
      <c r="I207" s="4">
        <v>115.74157180194879</v>
      </c>
      <c r="J207" s="4">
        <v>8.1164236594584143</v>
      </c>
      <c r="K207" s="4">
        <v>7.6864753400607118</v>
      </c>
      <c r="L207" s="4">
        <v>25.79689916386214</v>
      </c>
      <c r="M207" s="4">
        <v>15.289323471265419</v>
      </c>
      <c r="N207" s="4">
        <v>117.5210078280931</v>
      </c>
      <c r="O207" s="4">
        <v>2208.3404220376051</v>
      </c>
      <c r="P207" s="5">
        <v>5.3042326109482292E-2</v>
      </c>
      <c r="Q207" s="5">
        <v>0.94695767389051755</v>
      </c>
      <c r="R207" s="5">
        <v>2.76574893848908E-2</v>
      </c>
      <c r="S207" s="5">
        <v>1.051830661371283E-3</v>
      </c>
      <c r="T207" s="5">
        <v>0.80570028866987642</v>
      </c>
      <c r="U207" s="5">
        <v>0.68176084200463349</v>
      </c>
      <c r="V207" s="5">
        <v>0.89444378061726992</v>
      </c>
      <c r="W207" s="4">
        <v>0.93261938126270583</v>
      </c>
      <c r="X207" s="6">
        <v>89695.790442677928</v>
      </c>
      <c r="Y207" s="6">
        <v>18285.859986631531</v>
      </c>
      <c r="Z207" s="6">
        <v>5855.2417434480039</v>
      </c>
      <c r="AA207" s="6">
        <v>116896.2113593192</v>
      </c>
      <c r="AB207" s="6">
        <v>1066.548212228741</v>
      </c>
      <c r="AC207" s="3" t="s">
        <v>255</v>
      </c>
      <c r="AD207" s="3" t="s">
        <v>41</v>
      </c>
    </row>
    <row r="208" spans="1:30">
      <c r="A208" s="2">
        <v>46128</v>
      </c>
      <c r="B208" s="3" t="s">
        <v>30</v>
      </c>
      <c r="C208" s="3" t="s">
        <v>44</v>
      </c>
      <c r="D208" s="3" t="s">
        <v>45</v>
      </c>
      <c r="E208" s="3" t="s">
        <v>46</v>
      </c>
      <c r="F208" s="3" t="s">
        <v>47</v>
      </c>
      <c r="G208" s="4">
        <v>149.07937361267429</v>
      </c>
      <c r="H208" s="4">
        <v>145.78358698313929</v>
      </c>
      <c r="I208" s="4">
        <v>150.53371783207589</v>
      </c>
      <c r="J208" s="4">
        <v>8.4835225729721611</v>
      </c>
      <c r="K208" s="4">
        <v>8.2932220238876937</v>
      </c>
      <c r="L208" s="4">
        <v>11.41803294506806</v>
      </c>
      <c r="M208" s="4">
        <v>16.644488479587459</v>
      </c>
      <c r="N208" s="4">
        <v>138.0364384352597</v>
      </c>
      <c r="O208" s="4">
        <v>2213.8052019304669</v>
      </c>
      <c r="P208" s="5">
        <v>3.1555261620758703E-2</v>
      </c>
      <c r="Q208" s="5">
        <v>0.96844473837924128</v>
      </c>
      <c r="R208" s="5">
        <v>2.2365631651034931E-2</v>
      </c>
      <c r="S208" s="5">
        <v>1.7212930888240299E-2</v>
      </c>
      <c r="T208" s="5">
        <v>0.88920862170548054</v>
      </c>
      <c r="U208" s="5">
        <v>0.8354130280229044</v>
      </c>
      <c r="V208" s="5">
        <v>0.97789240355880569</v>
      </c>
      <c r="W208" s="4">
        <v>1.0561239382564409</v>
      </c>
      <c r="X208" s="6">
        <v>102096.53474040311</v>
      </c>
      <c r="Y208" s="6">
        <v>23316.504277328891</v>
      </c>
      <c r="Z208" s="6">
        <v>6180.2291496454254</v>
      </c>
      <c r="AA208" s="6">
        <v>135006.38517979169</v>
      </c>
      <c r="AB208" s="6">
        <v>926.07397014731146</v>
      </c>
      <c r="AC208" s="3" t="s">
        <v>256</v>
      </c>
      <c r="AD208" s="3" t="s">
        <v>41</v>
      </c>
    </row>
    <row r="209" spans="1:30">
      <c r="A209" s="2">
        <v>46129</v>
      </c>
      <c r="B209" s="3" t="s">
        <v>30</v>
      </c>
      <c r="C209" s="3" t="s">
        <v>63</v>
      </c>
      <c r="D209" s="3" t="s">
        <v>32</v>
      </c>
      <c r="E209" s="3" t="s">
        <v>38</v>
      </c>
      <c r="F209" s="3" t="s">
        <v>39</v>
      </c>
      <c r="G209" s="4">
        <v>59.738358481780303</v>
      </c>
      <c r="H209" s="4">
        <v>88.434567740471849</v>
      </c>
      <c r="I209" s="4">
        <v>92.075420332432728</v>
      </c>
      <c r="J209" s="4">
        <v>7.461309058265118</v>
      </c>
      <c r="K209" s="4">
        <v>7.1870410098880759</v>
      </c>
      <c r="L209" s="4">
        <v>16.456082902622519</v>
      </c>
      <c r="M209" s="4">
        <v>17.015988459287051</v>
      </c>
      <c r="N209" s="4">
        <v>122.2946068806783</v>
      </c>
      <c r="O209" s="4">
        <v>1861.431677054301</v>
      </c>
      <c r="P209" s="5">
        <v>3.9542068652152797E-2</v>
      </c>
      <c r="Q209" s="5">
        <v>0.96045793134784718</v>
      </c>
      <c r="R209" s="5">
        <v>1.8961598847943649E-2</v>
      </c>
      <c r="S209" s="5">
        <v>8.1492113135473773E-3</v>
      </c>
      <c r="T209" s="5">
        <v>0.69604228198848128</v>
      </c>
      <c r="U209" s="5">
        <v>0.69824262579656282</v>
      </c>
      <c r="V209" s="5">
        <v>1.480364877575999</v>
      </c>
      <c r="W209" s="4">
        <v>0.72312729069693682</v>
      </c>
      <c r="X209" s="6">
        <v>72793.840518896919</v>
      </c>
      <c r="Y209" s="6">
        <v>21915.504822084789</v>
      </c>
      <c r="Z209" s="6">
        <v>5188.3509835035402</v>
      </c>
      <c r="AA209" s="6">
        <v>104253.6326839008</v>
      </c>
      <c r="AB209" s="6">
        <v>1178.8787501042921</v>
      </c>
      <c r="AC209" s="3" t="s">
        <v>257</v>
      </c>
      <c r="AD209" s="3" t="s">
        <v>41</v>
      </c>
    </row>
    <row r="210" spans="1:30">
      <c r="A210" s="2">
        <v>46130</v>
      </c>
      <c r="B210" s="3" t="s">
        <v>30</v>
      </c>
      <c r="C210" s="3" t="s">
        <v>63</v>
      </c>
      <c r="D210" s="3" t="s">
        <v>45</v>
      </c>
      <c r="E210" s="3" t="s">
        <v>46</v>
      </c>
      <c r="F210" s="3" t="s">
        <v>47</v>
      </c>
      <c r="G210" s="4">
        <v>60.713915983290931</v>
      </c>
      <c r="H210" s="4">
        <v>107.46612347554399</v>
      </c>
      <c r="I210" s="4">
        <v>113.2985944315071</v>
      </c>
      <c r="J210" s="4">
        <v>8.4718460822363699</v>
      </c>
      <c r="K210" s="4">
        <v>8.1155143095179589</v>
      </c>
      <c r="L210" s="4">
        <v>21.37990636310462</v>
      </c>
      <c r="M210" s="4">
        <v>14.842716504752509</v>
      </c>
      <c r="N210" s="4">
        <v>120.4562781864374</v>
      </c>
      <c r="O210" s="4">
        <v>2034.9132979629401</v>
      </c>
      <c r="P210" s="5">
        <v>5.1478758277879483E-2</v>
      </c>
      <c r="Q210" s="5">
        <v>0.94852124172212049</v>
      </c>
      <c r="R210" s="5">
        <v>2.780189398661995E-2</v>
      </c>
      <c r="S210" s="5">
        <v>3.7312521278045439E-3</v>
      </c>
      <c r="T210" s="5">
        <v>0.77214980490375529</v>
      </c>
      <c r="U210" s="5">
        <v>0.7737583757648856</v>
      </c>
      <c r="V210" s="5">
        <v>1.7700410480048721</v>
      </c>
      <c r="W210" s="4">
        <v>0.89215875746395101</v>
      </c>
      <c r="X210" s="6">
        <v>74559.793539932332</v>
      </c>
      <c r="Y210" s="6">
        <v>20970.851981559332</v>
      </c>
      <c r="Z210" s="6">
        <v>5156.2703058625511</v>
      </c>
      <c r="AA210" s="6">
        <v>106729.7368627964</v>
      </c>
      <c r="AB210" s="6">
        <v>993.14773261626749</v>
      </c>
      <c r="AC210" s="3" t="s">
        <v>258</v>
      </c>
      <c r="AD210" s="3" t="s">
        <v>49</v>
      </c>
    </row>
    <row r="211" spans="1:30">
      <c r="A211" s="2">
        <v>46131</v>
      </c>
      <c r="B211" s="3" t="s">
        <v>30</v>
      </c>
      <c r="C211" s="3" t="s">
        <v>31</v>
      </c>
      <c r="D211" s="3" t="s">
        <v>32</v>
      </c>
      <c r="E211" s="3" t="s">
        <v>38</v>
      </c>
      <c r="F211" s="3" t="s">
        <v>39</v>
      </c>
      <c r="G211" s="4">
        <v>119.24072345243979</v>
      </c>
      <c r="H211" s="4">
        <v>144.62379248194409</v>
      </c>
      <c r="I211" s="4">
        <v>152.2118402621945</v>
      </c>
      <c r="J211" s="4">
        <v>7.6897085840720107</v>
      </c>
      <c r="K211" s="4">
        <v>7.3428988005229234</v>
      </c>
      <c r="L211" s="4">
        <v>20.808587012945249</v>
      </c>
      <c r="M211" s="4">
        <v>16.429900671369179</v>
      </c>
      <c r="N211" s="4">
        <v>120.6430979325075</v>
      </c>
      <c r="O211" s="4">
        <v>2538.4500776511591</v>
      </c>
      <c r="P211" s="5">
        <v>4.9851889098637532E-2</v>
      </c>
      <c r="Q211" s="5">
        <v>0.95014811090136242</v>
      </c>
      <c r="R211" s="5">
        <v>2.3219837416082769E-2</v>
      </c>
      <c r="S211" s="5">
        <v>1.369450123582463E-2</v>
      </c>
      <c r="T211" s="5">
        <v>0.77416131616787975</v>
      </c>
      <c r="U211" s="5">
        <v>0.76557876873961095</v>
      </c>
      <c r="V211" s="5">
        <v>1.212872484287036</v>
      </c>
      <c r="W211" s="4">
        <v>1.198773862412355</v>
      </c>
      <c r="X211" s="6">
        <v>96757.09934568718</v>
      </c>
      <c r="Y211" s="6">
        <v>18098.083835566409</v>
      </c>
      <c r="Z211" s="6">
        <v>5954.5333651685669</v>
      </c>
      <c r="AA211" s="6">
        <v>125002.1463438236</v>
      </c>
      <c r="AB211" s="6">
        <v>864.32629236596586</v>
      </c>
      <c r="AC211" s="3" t="s">
        <v>259</v>
      </c>
      <c r="AD211" s="3" t="s">
        <v>43</v>
      </c>
    </row>
    <row r="212" spans="1:30">
      <c r="A212" s="2">
        <v>46132</v>
      </c>
      <c r="B212" s="3" t="s">
        <v>30</v>
      </c>
      <c r="C212" s="3" t="s">
        <v>44</v>
      </c>
      <c r="D212" s="3" t="s">
        <v>32</v>
      </c>
      <c r="E212" s="3" t="s">
        <v>38</v>
      </c>
      <c r="F212" s="3" t="s">
        <v>39</v>
      </c>
      <c r="G212" s="4">
        <v>78.422450273223106</v>
      </c>
      <c r="H212" s="4">
        <v>132.05464462821919</v>
      </c>
      <c r="I212" s="4">
        <v>137.40309258474349</v>
      </c>
      <c r="J212" s="4">
        <v>7.6778632016755237</v>
      </c>
      <c r="K212" s="4">
        <v>7.4417773969849836</v>
      </c>
      <c r="L212" s="4">
        <v>14.165148281432391</v>
      </c>
      <c r="M212" s="4">
        <v>12.22663428860241</v>
      </c>
      <c r="N212" s="4">
        <v>90.98789069012301</v>
      </c>
      <c r="O212" s="4">
        <v>2207.0815869420799</v>
      </c>
      <c r="P212" s="5">
        <v>3.8925237095559707E-2</v>
      </c>
      <c r="Q212" s="5">
        <v>0.96107476290444016</v>
      </c>
      <c r="R212" s="5">
        <v>2E-3</v>
      </c>
      <c r="S212" s="5">
        <v>1.4397554835814209E-2</v>
      </c>
      <c r="T212" s="5">
        <v>0.85671352849206517</v>
      </c>
      <c r="U212" s="5">
        <v>0.85933599084805568</v>
      </c>
      <c r="V212" s="5">
        <v>1.6838882764838641</v>
      </c>
      <c r="W212" s="4">
        <v>1.451343070232906</v>
      </c>
      <c r="X212" s="6">
        <v>116296.8309562224</v>
      </c>
      <c r="Y212" s="6">
        <v>16340.230772361499</v>
      </c>
      <c r="Z212" s="6">
        <v>4815.1821483401382</v>
      </c>
      <c r="AA212" s="6">
        <v>143584.31943963791</v>
      </c>
      <c r="AB212" s="6">
        <v>1087.309877239675</v>
      </c>
      <c r="AC212" s="3" t="s">
        <v>260</v>
      </c>
      <c r="AD212" s="3" t="s">
        <v>43</v>
      </c>
    </row>
    <row r="213" spans="1:30">
      <c r="A213" s="2">
        <v>46133</v>
      </c>
      <c r="B213" s="3" t="s">
        <v>30</v>
      </c>
      <c r="C213" s="3" t="s">
        <v>63</v>
      </c>
      <c r="D213" s="3" t="s">
        <v>32</v>
      </c>
      <c r="E213" s="3" t="s">
        <v>33</v>
      </c>
      <c r="F213" s="3" t="s">
        <v>34</v>
      </c>
      <c r="G213" s="4">
        <v>102.9480408067997</v>
      </c>
      <c r="H213" s="4">
        <v>90.627766833469011</v>
      </c>
      <c r="I213" s="4">
        <v>95.681043989535752</v>
      </c>
      <c r="J213" s="4">
        <v>7.3764597294922556</v>
      </c>
      <c r="K213" s="4">
        <v>7.1063589759834462</v>
      </c>
      <c r="L213" s="4">
        <v>16.206045210528561</v>
      </c>
      <c r="M213" s="4">
        <v>19.127140929708791</v>
      </c>
      <c r="N213" s="4">
        <v>135.92432963073639</v>
      </c>
      <c r="O213" s="4">
        <v>1908.871233464356</v>
      </c>
      <c r="P213" s="5">
        <v>5.2813775282587759E-2</v>
      </c>
      <c r="Q213" s="5">
        <v>0.94718622471741221</v>
      </c>
      <c r="R213" s="5">
        <v>2E-3</v>
      </c>
      <c r="S213" s="5">
        <v>2.1201069184846912E-2</v>
      </c>
      <c r="T213" s="5">
        <v>0.86644690902558097</v>
      </c>
      <c r="U213" s="5">
        <v>0.71924657391909774</v>
      </c>
      <c r="V213" s="5">
        <v>0.88032531870662956</v>
      </c>
      <c r="W213" s="4">
        <v>0.6667516189314755</v>
      </c>
      <c r="X213" s="6">
        <v>79747.596859379773</v>
      </c>
      <c r="Y213" s="6">
        <v>23659.90007123668</v>
      </c>
      <c r="Z213" s="6">
        <v>3960.167116957839</v>
      </c>
      <c r="AA213" s="6">
        <v>111345.9841150346</v>
      </c>
      <c r="AB213" s="6">
        <v>1228.6078318539601</v>
      </c>
      <c r="AC213" s="3" t="s">
        <v>261</v>
      </c>
      <c r="AD213" s="3" t="s">
        <v>43</v>
      </c>
    </row>
    <row r="214" spans="1:30">
      <c r="A214" s="2">
        <v>46134</v>
      </c>
      <c r="B214" s="3" t="s">
        <v>30</v>
      </c>
      <c r="C214" s="3" t="s">
        <v>31</v>
      </c>
      <c r="D214" s="3" t="s">
        <v>45</v>
      </c>
      <c r="E214" s="3" t="s">
        <v>33</v>
      </c>
      <c r="F214" s="3" t="s">
        <v>34</v>
      </c>
      <c r="G214" s="4">
        <v>103.9474476358556</v>
      </c>
      <c r="H214" s="4">
        <v>117.4454924124215</v>
      </c>
      <c r="I214" s="4">
        <v>124.28413158381289</v>
      </c>
      <c r="J214" s="4">
        <v>7.2081871190459559</v>
      </c>
      <c r="K214" s="4">
        <v>6.9089188247452853</v>
      </c>
      <c r="L214" s="4">
        <v>17.95609765804026</v>
      </c>
      <c r="M214" s="4">
        <v>16.78246208446927</v>
      </c>
      <c r="N214" s="4">
        <v>115.9486682209637</v>
      </c>
      <c r="O214" s="4">
        <v>1980.0551506577669</v>
      </c>
      <c r="P214" s="5">
        <v>5.5024234262598587E-2</v>
      </c>
      <c r="Q214" s="5">
        <v>0.94497576573740139</v>
      </c>
      <c r="R214" s="5">
        <v>1.6238757061451239E-2</v>
      </c>
      <c r="S214" s="5">
        <v>8.2079874884755984E-3</v>
      </c>
      <c r="T214" s="5">
        <v>0.82712850695442275</v>
      </c>
      <c r="U214" s="5">
        <v>0.8255947686543007</v>
      </c>
      <c r="V214" s="5">
        <v>1.1298545090193239</v>
      </c>
      <c r="W214" s="4">
        <v>1.012909369416864</v>
      </c>
      <c r="X214" s="6">
        <v>96444.901081786898</v>
      </c>
      <c r="Y214" s="6">
        <v>19601.4029208789</v>
      </c>
      <c r="Z214" s="6">
        <v>5193.5105054835358</v>
      </c>
      <c r="AA214" s="6">
        <v>127020.5389380408</v>
      </c>
      <c r="AB214" s="6">
        <v>1081.527577848587</v>
      </c>
      <c r="AC214" s="3" t="s">
        <v>262</v>
      </c>
      <c r="AD214" s="3" t="s">
        <v>49</v>
      </c>
    </row>
    <row r="215" spans="1:30">
      <c r="A215" s="2">
        <v>46135</v>
      </c>
      <c r="B215" s="3" t="s">
        <v>30</v>
      </c>
      <c r="C215" s="3" t="s">
        <v>63</v>
      </c>
      <c r="D215" s="3" t="s">
        <v>37</v>
      </c>
      <c r="E215" s="3" t="s">
        <v>33</v>
      </c>
      <c r="F215" s="3" t="s">
        <v>34</v>
      </c>
      <c r="G215" s="4">
        <v>144.4050574022115</v>
      </c>
      <c r="H215" s="4">
        <v>93.086693288100662</v>
      </c>
      <c r="I215" s="4">
        <v>100.3349345781084</v>
      </c>
      <c r="J215" s="4">
        <v>8.1125421714238026</v>
      </c>
      <c r="K215" s="4">
        <v>8.0040017414532603</v>
      </c>
      <c r="L215" s="4">
        <v>6.5124257982324956</v>
      </c>
      <c r="M215" s="4">
        <v>18.380724815664191</v>
      </c>
      <c r="N215" s="4">
        <v>147.1193534337493</v>
      </c>
      <c r="O215" s="4">
        <v>1927.747789270951</v>
      </c>
      <c r="P215" s="5">
        <v>7.2240454638111878E-2</v>
      </c>
      <c r="Q215" s="5">
        <v>0.92775954536188809</v>
      </c>
      <c r="R215" s="5">
        <v>8.5175808837049428E-3</v>
      </c>
      <c r="S215" s="5">
        <v>1.0968513187875921E-2</v>
      </c>
      <c r="T215" s="5">
        <v>0.75811375246159851</v>
      </c>
      <c r="U215" s="5">
        <v>0.476869887967519</v>
      </c>
      <c r="V215" s="5">
        <v>0.64462211339888364</v>
      </c>
      <c r="W215" s="4">
        <v>0.63272908095004232</v>
      </c>
      <c r="X215" s="6">
        <v>79115.187237398117</v>
      </c>
      <c r="Y215" s="6">
        <v>26785.784064112351</v>
      </c>
      <c r="Z215" s="6">
        <v>5348.5321675503246</v>
      </c>
      <c r="AA215" s="6">
        <v>116888.7409938709</v>
      </c>
      <c r="AB215" s="6">
        <v>1255.69763910405</v>
      </c>
      <c r="AC215" s="3" t="s">
        <v>263</v>
      </c>
      <c r="AD215" s="3" t="s">
        <v>49</v>
      </c>
    </row>
    <row r="216" spans="1:30">
      <c r="A216" s="2">
        <v>46136</v>
      </c>
      <c r="B216" s="3" t="s">
        <v>30</v>
      </c>
      <c r="C216" s="3" t="s">
        <v>31</v>
      </c>
      <c r="D216" s="3" t="s">
        <v>45</v>
      </c>
      <c r="E216" s="3" t="s">
        <v>38</v>
      </c>
      <c r="F216" s="3" t="s">
        <v>39</v>
      </c>
      <c r="G216" s="4">
        <v>90.906334801813699</v>
      </c>
      <c r="H216" s="4">
        <v>104.6305152963135</v>
      </c>
      <c r="I216" s="4">
        <v>110.0254743165431</v>
      </c>
      <c r="J216" s="4">
        <v>7.2647084313407184</v>
      </c>
      <c r="K216" s="4">
        <v>7.028187894778517</v>
      </c>
      <c r="L216" s="4">
        <v>14.191232193732089</v>
      </c>
      <c r="M216" s="4">
        <v>17.06772015218575</v>
      </c>
      <c r="N216" s="4">
        <v>119.95514416505929</v>
      </c>
      <c r="O216" s="4">
        <v>1980.7943061219721</v>
      </c>
      <c r="P216" s="5">
        <v>4.9033726541440233E-2</v>
      </c>
      <c r="Q216" s="5">
        <v>0.95096627345855977</v>
      </c>
      <c r="R216" s="5">
        <v>9.2675629941622283E-3</v>
      </c>
      <c r="S216" s="5">
        <v>1.6458324587188271E-3</v>
      </c>
      <c r="T216" s="5">
        <v>0.74111846911269175</v>
      </c>
      <c r="U216" s="5">
        <v>0.75159995521729694</v>
      </c>
      <c r="V216" s="5">
        <v>1.150970562441221</v>
      </c>
      <c r="W216" s="4">
        <v>0.87224700553351031</v>
      </c>
      <c r="X216" s="6">
        <v>92276.617433602776</v>
      </c>
      <c r="Y216" s="6">
        <v>20960.081977363519</v>
      </c>
      <c r="Z216" s="6">
        <v>4569.6779162802532</v>
      </c>
      <c r="AA216" s="6">
        <v>120346.44576917079</v>
      </c>
      <c r="AB216" s="6">
        <v>1150.2040817475649</v>
      </c>
      <c r="AC216" s="3" t="s">
        <v>264</v>
      </c>
      <c r="AD216" s="3" t="s">
        <v>43</v>
      </c>
    </row>
    <row r="217" spans="1:30">
      <c r="A217" s="2">
        <v>46137</v>
      </c>
      <c r="B217" s="3" t="s">
        <v>30</v>
      </c>
      <c r="C217" s="3" t="s">
        <v>56</v>
      </c>
      <c r="D217" s="3" t="s">
        <v>32</v>
      </c>
      <c r="E217" s="3" t="s">
        <v>33</v>
      </c>
      <c r="F217" s="3" t="s">
        <v>34</v>
      </c>
      <c r="G217" s="4">
        <v>114.09438656263821</v>
      </c>
      <c r="H217" s="4">
        <v>76.840242796999121</v>
      </c>
      <c r="I217" s="4">
        <v>80.478831791588348</v>
      </c>
      <c r="J217" s="4">
        <v>7.4674839703733422</v>
      </c>
      <c r="K217" s="4">
        <v>7.237302471748281</v>
      </c>
      <c r="L217" s="4">
        <v>13.81088991750369</v>
      </c>
      <c r="M217" s="4">
        <v>16.652563235081459</v>
      </c>
      <c r="N217" s="4">
        <v>120.51963706219961</v>
      </c>
      <c r="O217" s="4">
        <v>1626.55048053011</v>
      </c>
      <c r="P217" s="5">
        <v>4.5211752128955937E-2</v>
      </c>
      <c r="Q217" s="5">
        <v>0.9547882478710441</v>
      </c>
      <c r="R217" s="5">
        <v>1.6060183656373111E-2</v>
      </c>
      <c r="S217" s="5">
        <v>1E-3</v>
      </c>
      <c r="T217" s="5">
        <v>0.7118540215773409</v>
      </c>
      <c r="U217" s="5">
        <v>0.46417666782930328</v>
      </c>
      <c r="V217" s="5">
        <v>0.67347960852406652</v>
      </c>
      <c r="W217" s="4">
        <v>0.63757446230394998</v>
      </c>
      <c r="X217" s="6">
        <v>60342.365056471332</v>
      </c>
      <c r="Y217" s="6">
        <v>22310.112174386551</v>
      </c>
      <c r="Z217" s="6">
        <v>3884.524042204333</v>
      </c>
      <c r="AA217" s="6">
        <v>90066.813971866592</v>
      </c>
      <c r="AB217" s="6">
        <v>1172.130783212257</v>
      </c>
      <c r="AC217" s="3" t="s">
        <v>265</v>
      </c>
      <c r="AD217" s="3" t="s">
        <v>36</v>
      </c>
    </row>
    <row r="218" spans="1:30">
      <c r="A218" s="2">
        <v>46138</v>
      </c>
      <c r="B218" s="3" t="s">
        <v>30</v>
      </c>
      <c r="C218" s="3" t="s">
        <v>56</v>
      </c>
      <c r="D218" s="3" t="s">
        <v>32</v>
      </c>
      <c r="E218" s="3" t="s">
        <v>33</v>
      </c>
      <c r="F218" s="3" t="s">
        <v>34</v>
      </c>
      <c r="G218" s="4">
        <v>71.281120186589092</v>
      </c>
      <c r="H218" s="4">
        <v>85.279756311286675</v>
      </c>
      <c r="I218" s="4">
        <v>89.000914268238276</v>
      </c>
      <c r="J218" s="4">
        <v>7.5644070152045026</v>
      </c>
      <c r="K218" s="4">
        <v>7.5053034670396057</v>
      </c>
      <c r="L218" s="4">
        <v>3.5462128898938041</v>
      </c>
      <c r="M218" s="4">
        <v>17.94353724315496</v>
      </c>
      <c r="N218" s="4">
        <v>134.67169228200521</v>
      </c>
      <c r="O218" s="4">
        <v>1714.000473912497</v>
      </c>
      <c r="P218" s="5">
        <v>4.1810334057203823E-2</v>
      </c>
      <c r="Q218" s="5">
        <v>0.9581896659427962</v>
      </c>
      <c r="R218" s="5">
        <v>3.075600078440369E-2</v>
      </c>
      <c r="S218" s="5">
        <v>1.1175999555278E-2</v>
      </c>
      <c r="T218" s="5">
        <v>0.61820933862515159</v>
      </c>
      <c r="U218" s="5">
        <v>0.63685010909817574</v>
      </c>
      <c r="V218" s="5">
        <v>1.1963863094190159</v>
      </c>
      <c r="W218" s="4">
        <v>0.63324188525610237</v>
      </c>
      <c r="X218" s="6">
        <v>76537.04107139945</v>
      </c>
      <c r="Y218" s="6">
        <v>23647.540528798861</v>
      </c>
      <c r="Z218" s="6">
        <v>3967.8402345822878</v>
      </c>
      <c r="AA218" s="6">
        <v>107221.4800835847</v>
      </c>
      <c r="AB218" s="6">
        <v>1257.291117158059</v>
      </c>
      <c r="AC218" s="3" t="s">
        <v>266</v>
      </c>
      <c r="AD218" s="3" t="s">
        <v>49</v>
      </c>
    </row>
    <row r="219" spans="1:30">
      <c r="A219" s="2">
        <v>46139</v>
      </c>
      <c r="B219" s="3" t="s">
        <v>30</v>
      </c>
      <c r="C219" s="3" t="s">
        <v>63</v>
      </c>
      <c r="D219" s="3" t="s">
        <v>32</v>
      </c>
      <c r="E219" s="3" t="s">
        <v>33</v>
      </c>
      <c r="F219" s="3" t="s">
        <v>34</v>
      </c>
      <c r="G219" s="4">
        <v>91.963793668537448</v>
      </c>
      <c r="H219" s="4">
        <v>150.23657979628129</v>
      </c>
      <c r="I219" s="4">
        <v>157.8296373113233</v>
      </c>
      <c r="J219" s="4">
        <v>8.0896788163929862</v>
      </c>
      <c r="K219" s="4">
        <v>7.9285685586359271</v>
      </c>
      <c r="L219" s="4">
        <v>9.6666154654235719</v>
      </c>
      <c r="M219" s="4">
        <v>13.266516059994849</v>
      </c>
      <c r="N219" s="4">
        <v>105.1844821159138</v>
      </c>
      <c r="O219" s="4">
        <v>2446.4443607528369</v>
      </c>
      <c r="P219" s="5">
        <v>4.8109199541937528E-2</v>
      </c>
      <c r="Q219" s="5">
        <v>0.95189080045806262</v>
      </c>
      <c r="R219" s="5">
        <v>1.5475219658849361E-2</v>
      </c>
      <c r="S219" s="5">
        <v>8.589293056278053E-3</v>
      </c>
      <c r="T219" s="5">
        <v>0.82393386243916067</v>
      </c>
      <c r="U219" s="5">
        <v>0.84061814990713646</v>
      </c>
      <c r="V219" s="5">
        <v>1.6336492200155941</v>
      </c>
      <c r="W219" s="4">
        <v>1.4283150591616729</v>
      </c>
      <c r="X219" s="6">
        <v>112273.4372510453</v>
      </c>
      <c r="Y219" s="6">
        <v>15816.189465133701</v>
      </c>
      <c r="Z219" s="6">
        <v>6406.6740735370704</v>
      </c>
      <c r="AA219" s="6">
        <v>140822.32487836451</v>
      </c>
      <c r="AB219" s="6">
        <v>937.33713233699575</v>
      </c>
      <c r="AC219" s="3" t="s">
        <v>267</v>
      </c>
      <c r="AD219" s="3" t="s">
        <v>36</v>
      </c>
    </row>
    <row r="220" spans="1:30">
      <c r="A220" s="2">
        <v>46140</v>
      </c>
      <c r="B220" s="3" t="s">
        <v>30</v>
      </c>
      <c r="C220" s="3" t="s">
        <v>56</v>
      </c>
      <c r="D220" s="3" t="s">
        <v>32</v>
      </c>
      <c r="E220" s="3" t="s">
        <v>46</v>
      </c>
      <c r="F220" s="3" t="s">
        <v>47</v>
      </c>
      <c r="G220" s="4">
        <v>55.456275348387948</v>
      </c>
      <c r="H220" s="4">
        <v>165.8233166360119</v>
      </c>
      <c r="I220" s="4">
        <v>175.0194955885452</v>
      </c>
      <c r="J220" s="4">
        <v>7.8008850393571016</v>
      </c>
      <c r="K220" s="4">
        <v>7.6741628048137116</v>
      </c>
      <c r="L220" s="4">
        <v>7.6033340726033947</v>
      </c>
      <c r="M220" s="4">
        <v>14.65570744843901</v>
      </c>
      <c r="N220" s="4">
        <v>112.47028497904191</v>
      </c>
      <c r="O220" s="4">
        <v>2634.3078985588468</v>
      </c>
      <c r="P220" s="5">
        <v>5.2543740465077433E-2</v>
      </c>
      <c r="Q220" s="5">
        <v>0.94745625953492241</v>
      </c>
      <c r="R220" s="5">
        <v>3.0750675846286012E-2</v>
      </c>
      <c r="S220" s="5">
        <v>1E-3</v>
      </c>
      <c r="T220" s="5">
        <v>0.98</v>
      </c>
      <c r="U220" s="5">
        <v>1</v>
      </c>
      <c r="V220" s="5">
        <v>2.9901632519363228</v>
      </c>
      <c r="W220" s="4">
        <v>1.4743744684821589</v>
      </c>
      <c r="X220" s="6">
        <v>148607.7609960298</v>
      </c>
      <c r="Y220" s="6">
        <v>21092.71913747201</v>
      </c>
      <c r="Z220" s="6">
        <v>5888.607433582677</v>
      </c>
      <c r="AA220" s="6">
        <v>178385.0506413184</v>
      </c>
      <c r="AB220" s="6">
        <v>1075.7537254720339</v>
      </c>
      <c r="AC220" s="3" t="s">
        <v>268</v>
      </c>
      <c r="AD220" s="3" t="s">
        <v>41</v>
      </c>
    </row>
    <row r="221" spans="1:30">
      <c r="A221" s="2">
        <v>46141</v>
      </c>
      <c r="B221" s="3" t="s">
        <v>30</v>
      </c>
      <c r="C221" s="3" t="s">
        <v>31</v>
      </c>
      <c r="D221" s="3" t="s">
        <v>32</v>
      </c>
      <c r="E221" s="3" t="s">
        <v>33</v>
      </c>
      <c r="F221" s="3" t="s">
        <v>34</v>
      </c>
      <c r="G221" s="4">
        <v>97.682762534826878</v>
      </c>
      <c r="H221" s="4">
        <v>117.6229628408076</v>
      </c>
      <c r="I221" s="4">
        <v>120.2756668507145</v>
      </c>
      <c r="J221" s="4">
        <v>8.2216747409152653</v>
      </c>
      <c r="K221" s="4">
        <v>8.0392793502532633</v>
      </c>
      <c r="L221" s="4">
        <v>10.943723439720131</v>
      </c>
      <c r="M221" s="4">
        <v>17.458613187246609</v>
      </c>
      <c r="N221" s="4">
        <v>140.354668480291</v>
      </c>
      <c r="O221" s="4">
        <v>2115.0871611484122</v>
      </c>
      <c r="P221" s="5">
        <v>2.2055201017504179E-2</v>
      </c>
      <c r="Q221" s="5">
        <v>0.97794479898249587</v>
      </c>
      <c r="R221" s="5">
        <v>3.3534699194247723E-2</v>
      </c>
      <c r="S221" s="5">
        <v>4.9528059088709293E-3</v>
      </c>
      <c r="T221" s="5">
        <v>0.70639486400422058</v>
      </c>
      <c r="U221" s="5">
        <v>0.72166781941094482</v>
      </c>
      <c r="V221" s="5">
        <v>1.204132231609149</v>
      </c>
      <c r="W221" s="4">
        <v>0.8380409723052753</v>
      </c>
      <c r="X221" s="6">
        <v>91002.859969128636</v>
      </c>
      <c r="Y221" s="6">
        <v>20649.329886254669</v>
      </c>
      <c r="Z221" s="6">
        <v>5312.2547027693772</v>
      </c>
      <c r="AA221" s="6">
        <v>122240.5939434894</v>
      </c>
      <c r="AB221" s="6">
        <v>1039.257905014103</v>
      </c>
      <c r="AC221" s="3" t="s">
        <v>269</v>
      </c>
      <c r="AD221" s="3" t="s">
        <v>41</v>
      </c>
    </row>
    <row r="222" spans="1:30">
      <c r="A222" s="2">
        <v>46142</v>
      </c>
      <c r="B222" s="3" t="s">
        <v>30</v>
      </c>
      <c r="C222" s="3" t="s">
        <v>31</v>
      </c>
      <c r="D222" s="3" t="s">
        <v>45</v>
      </c>
      <c r="E222" s="3" t="s">
        <v>38</v>
      </c>
      <c r="F222" s="3" t="s">
        <v>39</v>
      </c>
      <c r="G222" s="4">
        <v>67.671675029418481</v>
      </c>
      <c r="H222" s="4">
        <v>140.07193432429429</v>
      </c>
      <c r="I222" s="4">
        <v>148.28768485577811</v>
      </c>
      <c r="J222" s="4">
        <v>8.4181237494790953</v>
      </c>
      <c r="K222" s="4">
        <v>8.0812051819873076</v>
      </c>
      <c r="L222" s="4">
        <v>20.215114049507299</v>
      </c>
      <c r="M222" s="4">
        <v>16.54481563681674</v>
      </c>
      <c r="N222" s="4">
        <v>133.7020498592681</v>
      </c>
      <c r="O222" s="4">
        <v>2171.9551219019031</v>
      </c>
      <c r="P222" s="5">
        <v>5.5404132443461651E-2</v>
      </c>
      <c r="Q222" s="5">
        <v>0.94459586755653846</v>
      </c>
      <c r="R222" s="5">
        <v>3.3177703428490177E-2</v>
      </c>
      <c r="S222" s="5">
        <v>5.7761713405286444E-3</v>
      </c>
      <c r="T222" s="5">
        <v>0.88532151178191798</v>
      </c>
      <c r="U222" s="5">
        <v>0.88722814789256066</v>
      </c>
      <c r="V222" s="5">
        <v>2.0698753838057309</v>
      </c>
      <c r="W222" s="4">
        <v>1.0476423844790039</v>
      </c>
      <c r="X222" s="6">
        <v>92381.961813589369</v>
      </c>
      <c r="Y222" s="6">
        <v>23982.019288180389</v>
      </c>
      <c r="Z222" s="6">
        <v>5740.1327144042898</v>
      </c>
      <c r="AA222" s="6">
        <v>126979.6183133728</v>
      </c>
      <c r="AB222" s="6">
        <v>906.53148274078853</v>
      </c>
      <c r="AC222" s="3" t="s">
        <v>270</v>
      </c>
      <c r="AD222" s="3" t="s">
        <v>41</v>
      </c>
    </row>
    <row r="223" spans="1:30">
      <c r="A223" s="2">
        <v>46143</v>
      </c>
      <c r="B223" s="3" t="s">
        <v>30</v>
      </c>
      <c r="C223" s="3" t="s">
        <v>31</v>
      </c>
      <c r="D223" s="3" t="s">
        <v>45</v>
      </c>
      <c r="E223" s="3" t="s">
        <v>50</v>
      </c>
      <c r="F223" s="3" t="s">
        <v>51</v>
      </c>
      <c r="G223" s="4">
        <v>106.1060683660673</v>
      </c>
      <c r="H223" s="4">
        <v>143.95213890782699</v>
      </c>
      <c r="I223" s="4">
        <v>146.59408855627069</v>
      </c>
      <c r="J223" s="4">
        <v>7.8184905349463314</v>
      </c>
      <c r="K223" s="4">
        <v>7.5368551520572211</v>
      </c>
      <c r="L223" s="4">
        <v>16.898122973346599</v>
      </c>
      <c r="M223" s="4">
        <v>15.066726551598549</v>
      </c>
      <c r="N223" s="4">
        <v>113.5557356350528</v>
      </c>
      <c r="O223" s="4">
        <v>2242.286758002982</v>
      </c>
      <c r="P223" s="5">
        <v>1.8022211362428538E-2</v>
      </c>
      <c r="Q223" s="5">
        <v>0.98197778863757146</v>
      </c>
      <c r="R223" s="5">
        <v>2.194221519075485E-2</v>
      </c>
      <c r="S223" s="5">
        <v>1.9810336863466949E-2</v>
      </c>
      <c r="T223" s="5">
        <v>0.92619871778996576</v>
      </c>
      <c r="U223" s="5">
        <v>0.91890549120230181</v>
      </c>
      <c r="V223" s="5">
        <v>1.3566814898012269</v>
      </c>
      <c r="W223" s="4">
        <v>1.26767827360533</v>
      </c>
      <c r="X223" s="6">
        <v>102307.53525902879</v>
      </c>
      <c r="Y223" s="6">
        <v>17628.559966404049</v>
      </c>
      <c r="Z223" s="6">
        <v>6049.8407169317679</v>
      </c>
      <c r="AA223" s="6">
        <v>131303.26468437311</v>
      </c>
      <c r="AB223" s="6">
        <v>912.13139089546303</v>
      </c>
      <c r="AC223" s="3" t="s">
        <v>271</v>
      </c>
      <c r="AD223" s="3" t="s">
        <v>49</v>
      </c>
    </row>
    <row r="224" spans="1:30">
      <c r="A224" s="2">
        <v>46144</v>
      </c>
      <c r="B224" s="3" t="s">
        <v>30</v>
      </c>
      <c r="C224" s="3" t="s">
        <v>31</v>
      </c>
      <c r="D224" s="3" t="s">
        <v>45</v>
      </c>
      <c r="E224" s="3" t="s">
        <v>38</v>
      </c>
      <c r="F224" s="3" t="s">
        <v>39</v>
      </c>
      <c r="G224" s="4">
        <v>90.653529667726829</v>
      </c>
      <c r="H224" s="4">
        <v>144.33359779455091</v>
      </c>
      <c r="I224" s="4">
        <v>148.7483470546575</v>
      </c>
      <c r="J224" s="4">
        <v>7.3563997384940798</v>
      </c>
      <c r="K224" s="4">
        <v>7.2750814979177374</v>
      </c>
      <c r="L224" s="4">
        <v>4.8790944345805896</v>
      </c>
      <c r="M224" s="4">
        <v>19.23326336022064</v>
      </c>
      <c r="N224" s="4">
        <v>139.92355841652031</v>
      </c>
      <c r="O224" s="4">
        <v>2388.271468021997</v>
      </c>
      <c r="P224" s="5">
        <v>2.9679316426181442E-2</v>
      </c>
      <c r="Q224" s="5">
        <v>0.97032068357381851</v>
      </c>
      <c r="R224" s="5">
        <v>1.3596442985452871E-2</v>
      </c>
      <c r="S224" s="5">
        <v>8.5655984581794326E-3</v>
      </c>
      <c r="T224" s="5">
        <v>0.82340714044720553</v>
      </c>
      <c r="U224" s="5">
        <v>0.84769662623358066</v>
      </c>
      <c r="V224" s="5">
        <v>1.5921453728672019</v>
      </c>
      <c r="W224" s="4">
        <v>1.0315174901777651</v>
      </c>
      <c r="X224" s="6">
        <v>115240.9498062941</v>
      </c>
      <c r="Y224" s="6">
        <v>25060.66645585731</v>
      </c>
      <c r="Z224" s="6">
        <v>6166.1596416153079</v>
      </c>
      <c r="AA224" s="6">
        <v>150304.13368950281</v>
      </c>
      <c r="AB224" s="6">
        <v>1041.3662237080141</v>
      </c>
      <c r="AC224" s="3" t="s">
        <v>272</v>
      </c>
      <c r="AD224" s="3" t="s">
        <v>36</v>
      </c>
    </row>
    <row r="225" spans="1:30">
      <c r="A225" s="2">
        <v>46145</v>
      </c>
      <c r="B225" s="3" t="s">
        <v>30</v>
      </c>
      <c r="C225" s="3" t="s">
        <v>31</v>
      </c>
      <c r="D225" s="3" t="s">
        <v>45</v>
      </c>
      <c r="E225" s="3" t="s">
        <v>46</v>
      </c>
      <c r="F225" s="3" t="s">
        <v>47</v>
      </c>
      <c r="G225" s="4">
        <v>58.462090302388752</v>
      </c>
      <c r="H225" s="4">
        <v>106.8432727175456</v>
      </c>
      <c r="I225" s="4">
        <v>111.24564865696939</v>
      </c>
      <c r="J225" s="4">
        <v>7.2887949608764018</v>
      </c>
      <c r="K225" s="4">
        <v>7.0334039045849579</v>
      </c>
      <c r="L225" s="4">
        <v>15.32346337748665</v>
      </c>
      <c r="M225" s="4">
        <v>20.751144967890209</v>
      </c>
      <c r="N225" s="4">
        <v>145.9511840417675</v>
      </c>
      <c r="O225" s="4">
        <v>1900.384984682833</v>
      </c>
      <c r="P225" s="5">
        <v>3.9573466401357699E-2</v>
      </c>
      <c r="Q225" s="5">
        <v>0.96042653359864227</v>
      </c>
      <c r="R225" s="5">
        <v>1.741487556671573E-2</v>
      </c>
      <c r="S225" s="5">
        <v>9.3890159697539513E-3</v>
      </c>
      <c r="T225" s="5">
        <v>0.94872192148982104</v>
      </c>
      <c r="U225" s="5">
        <v>0.95222855053468247</v>
      </c>
      <c r="V225" s="5">
        <v>1.827565045397975</v>
      </c>
      <c r="W225" s="4">
        <v>0.73204800234419309</v>
      </c>
      <c r="X225" s="6">
        <v>79172.339998464595</v>
      </c>
      <c r="Y225" s="6">
        <v>26188.582128983799</v>
      </c>
      <c r="Z225" s="6">
        <v>3828.7540515966712</v>
      </c>
      <c r="AA225" s="6">
        <v>115842.8625990548</v>
      </c>
      <c r="AB225" s="6">
        <v>1084.231694262126</v>
      </c>
      <c r="AC225" s="3" t="s">
        <v>273</v>
      </c>
      <c r="AD225" s="3" t="s">
        <v>41</v>
      </c>
    </row>
    <row r="226" spans="1:30">
      <c r="A226" s="2">
        <v>46146</v>
      </c>
      <c r="B226" s="3" t="s">
        <v>30</v>
      </c>
      <c r="C226" s="3" t="s">
        <v>56</v>
      </c>
      <c r="D226" s="3" t="s">
        <v>37</v>
      </c>
      <c r="E226" s="3" t="s">
        <v>33</v>
      </c>
      <c r="F226" s="3" t="s">
        <v>34</v>
      </c>
      <c r="G226" s="4">
        <v>87.987743786613748</v>
      </c>
      <c r="H226" s="4">
        <v>131.69239255478601</v>
      </c>
      <c r="I226" s="4">
        <v>143.95424649550651</v>
      </c>
      <c r="J226" s="4">
        <v>7.5724498886307323</v>
      </c>
      <c r="K226" s="4">
        <v>7.1788620947058543</v>
      </c>
      <c r="L226" s="4">
        <v>23.6152676354927</v>
      </c>
      <c r="M226" s="4">
        <v>12.659435461502969</v>
      </c>
      <c r="N226" s="4">
        <v>90.880341374958803</v>
      </c>
      <c r="O226" s="4">
        <v>2270.0676756134112</v>
      </c>
      <c r="P226" s="5">
        <v>8.5178827573545765E-2</v>
      </c>
      <c r="Q226" s="5">
        <v>0.91482117242645433</v>
      </c>
      <c r="R226" s="5">
        <v>2.156957288473919E-2</v>
      </c>
      <c r="S226" s="5">
        <v>6.2832239171702262E-3</v>
      </c>
      <c r="T226" s="5">
        <v>0.84679873371720593</v>
      </c>
      <c r="U226" s="5">
        <v>0.83762826409222169</v>
      </c>
      <c r="V226" s="5">
        <v>1.4967129157688599</v>
      </c>
      <c r="W226" s="4">
        <v>1.4490745805128831</v>
      </c>
      <c r="X226" s="6">
        <v>111659.7125653884</v>
      </c>
      <c r="Y226" s="6">
        <v>17512.870654976079</v>
      </c>
      <c r="Z226" s="6">
        <v>6268.4802073780138</v>
      </c>
      <c r="AA226" s="6">
        <v>140170.9093188172</v>
      </c>
      <c r="AB226" s="6">
        <v>1064.3812189872999</v>
      </c>
      <c r="AC226" s="3" t="s">
        <v>274</v>
      </c>
      <c r="AD226" s="3" t="s">
        <v>41</v>
      </c>
    </row>
    <row r="227" spans="1:30">
      <c r="A227" s="2">
        <v>46147</v>
      </c>
      <c r="B227" s="3" t="s">
        <v>30</v>
      </c>
      <c r="C227" s="3" t="s">
        <v>44</v>
      </c>
      <c r="D227" s="3" t="s">
        <v>37</v>
      </c>
      <c r="E227" s="3" t="s">
        <v>33</v>
      </c>
      <c r="F227" s="3" t="s">
        <v>34</v>
      </c>
      <c r="G227" s="4">
        <v>146.77494902646879</v>
      </c>
      <c r="H227" s="4">
        <v>74.534074368187319</v>
      </c>
      <c r="I227" s="4">
        <v>77.904555000371644</v>
      </c>
      <c r="J227" s="4">
        <v>7.308686703141456</v>
      </c>
      <c r="K227" s="4">
        <v>7.1427287294124691</v>
      </c>
      <c r="L227" s="4">
        <v>9.9574784237391931</v>
      </c>
      <c r="M227" s="4">
        <v>17.206904402876969</v>
      </c>
      <c r="N227" s="4">
        <v>122.9042504226833</v>
      </c>
      <c r="O227" s="4">
        <v>1604.3485206859571</v>
      </c>
      <c r="P227" s="5">
        <v>4.3264230598175489E-2</v>
      </c>
      <c r="Q227" s="5">
        <v>0.95673576940182448</v>
      </c>
      <c r="R227" s="5">
        <v>3.523717035689005E-2</v>
      </c>
      <c r="S227" s="5">
        <v>1.168780068324079E-2</v>
      </c>
      <c r="T227" s="5">
        <v>0.67038604571579208</v>
      </c>
      <c r="U227" s="5">
        <v>0.32881139294662731</v>
      </c>
      <c r="V227" s="5">
        <v>0.50781195880194896</v>
      </c>
      <c r="W227" s="4">
        <v>0.6064401687643447</v>
      </c>
      <c r="X227" s="6">
        <v>56894.987368269263</v>
      </c>
      <c r="Y227" s="6">
        <v>20084.133690440281</v>
      </c>
      <c r="Z227" s="6">
        <v>3637.4165456968899</v>
      </c>
      <c r="AA227" s="6">
        <v>85683.596581494654</v>
      </c>
      <c r="AB227" s="6">
        <v>1149.5895978828471</v>
      </c>
      <c r="AC227" s="3" t="s">
        <v>275</v>
      </c>
      <c r="AD227" s="3" t="s">
        <v>43</v>
      </c>
    </row>
    <row r="228" spans="1:30">
      <c r="A228" s="2">
        <v>46148</v>
      </c>
      <c r="B228" s="3" t="s">
        <v>30</v>
      </c>
      <c r="C228" s="3" t="s">
        <v>31</v>
      </c>
      <c r="D228" s="3" t="s">
        <v>45</v>
      </c>
      <c r="E228" s="3" t="s">
        <v>38</v>
      </c>
      <c r="F228" s="3" t="s">
        <v>39</v>
      </c>
      <c r="G228" s="4">
        <v>130.77515354668691</v>
      </c>
      <c r="H228" s="4">
        <v>127.39091888213559</v>
      </c>
      <c r="I228" s="4">
        <v>131.6438608188397</v>
      </c>
      <c r="J228" s="4">
        <v>7.6525287013035648</v>
      </c>
      <c r="K228" s="4">
        <v>7.605380257646372</v>
      </c>
      <c r="L228" s="4">
        <v>2.8289066194315859</v>
      </c>
      <c r="M228" s="4">
        <v>17.109320267639848</v>
      </c>
      <c r="N228" s="4">
        <v>130.12288658525699</v>
      </c>
      <c r="O228" s="4">
        <v>1997.342117973888</v>
      </c>
      <c r="P228" s="5">
        <v>3.2306420597590597E-2</v>
      </c>
      <c r="Q228" s="5">
        <v>0.96769357940240941</v>
      </c>
      <c r="R228" s="5">
        <v>3.0481294115249011E-2</v>
      </c>
      <c r="S228" s="5">
        <v>1.8991815404704088E-2</v>
      </c>
      <c r="T228" s="5">
        <v>0.84326338689917146</v>
      </c>
      <c r="U228" s="5">
        <v>0.80087561891002779</v>
      </c>
      <c r="V228" s="5">
        <v>0.97412173052166873</v>
      </c>
      <c r="W228" s="4">
        <v>0.97900471027952884</v>
      </c>
      <c r="X228" s="6">
        <v>91530.910514492076</v>
      </c>
      <c r="Y228" s="6">
        <v>23973.386782494548</v>
      </c>
      <c r="Z228" s="6">
        <v>5121.7736554966204</v>
      </c>
      <c r="AA228" s="6">
        <v>127468.68247425499</v>
      </c>
      <c r="AB228" s="6">
        <v>1000.610432774972</v>
      </c>
      <c r="AC228" s="3" t="s">
        <v>276</v>
      </c>
      <c r="AD228" s="3" t="s">
        <v>43</v>
      </c>
    </row>
    <row r="229" spans="1:30">
      <c r="A229" s="2">
        <v>46149</v>
      </c>
      <c r="B229" s="3" t="s">
        <v>30</v>
      </c>
      <c r="C229" s="3" t="s">
        <v>44</v>
      </c>
      <c r="D229" s="3" t="s">
        <v>32</v>
      </c>
      <c r="E229" s="3" t="s">
        <v>33</v>
      </c>
      <c r="F229" s="3" t="s">
        <v>34</v>
      </c>
      <c r="G229" s="4">
        <v>57.748167801484321</v>
      </c>
      <c r="H229" s="4">
        <v>92.871861987922088</v>
      </c>
      <c r="I229" s="4">
        <v>98.052953707842065</v>
      </c>
      <c r="J229" s="4">
        <v>7.7876989466778479</v>
      </c>
      <c r="K229" s="4">
        <v>7.3944862255724644</v>
      </c>
      <c r="L229" s="4">
        <v>23.592763266323018</v>
      </c>
      <c r="M229" s="4">
        <v>15.234949844336439</v>
      </c>
      <c r="N229" s="4">
        <v>112.6546267712332</v>
      </c>
      <c r="O229" s="4">
        <v>1755.0788467859411</v>
      </c>
      <c r="P229" s="5">
        <v>5.2839731226838188E-2</v>
      </c>
      <c r="Q229" s="5">
        <v>0.94716026877316184</v>
      </c>
      <c r="R229" s="5">
        <v>5.5065432295619589E-3</v>
      </c>
      <c r="S229" s="5">
        <v>4.2284568572749067E-3</v>
      </c>
      <c r="T229" s="5">
        <v>0.76787548821155738</v>
      </c>
      <c r="U229" s="5">
        <v>0.76232237040996753</v>
      </c>
      <c r="V229" s="5">
        <v>1.6082217934113401</v>
      </c>
      <c r="W229" s="4">
        <v>0.82439456460599891</v>
      </c>
      <c r="X229" s="6">
        <v>77552.726400834523</v>
      </c>
      <c r="Y229" s="6">
        <v>19495.393854220809</v>
      </c>
      <c r="Z229" s="6">
        <v>4234.1753251218279</v>
      </c>
      <c r="AA229" s="6">
        <v>107163.3722663923</v>
      </c>
      <c r="AB229" s="6">
        <v>1153.8841794765431</v>
      </c>
      <c r="AC229" s="3" t="s">
        <v>277</v>
      </c>
      <c r="AD229" s="3" t="s">
        <v>36</v>
      </c>
    </row>
    <row r="230" spans="1:30">
      <c r="A230" s="2">
        <v>46150</v>
      </c>
      <c r="B230" s="3" t="s">
        <v>30</v>
      </c>
      <c r="C230" s="3" t="s">
        <v>63</v>
      </c>
      <c r="D230" s="3" t="s">
        <v>37</v>
      </c>
      <c r="E230" s="3" t="s">
        <v>33</v>
      </c>
      <c r="F230" s="3" t="s">
        <v>34</v>
      </c>
      <c r="G230" s="4">
        <v>61.652385367863623</v>
      </c>
      <c r="H230" s="4">
        <v>120.4801099978903</v>
      </c>
      <c r="I230" s="4">
        <v>123.46666552438791</v>
      </c>
      <c r="J230" s="4">
        <v>7.9208124493394392</v>
      </c>
      <c r="K230" s="4">
        <v>7.6621974107554838</v>
      </c>
      <c r="L230" s="4">
        <v>15.516902315037321</v>
      </c>
      <c r="M230" s="4">
        <v>15.53310672115537</v>
      </c>
      <c r="N230" s="4">
        <v>119.0177300998253</v>
      </c>
      <c r="O230" s="4">
        <v>2075.5273360976662</v>
      </c>
      <c r="P230" s="5">
        <v>2.418916485525166E-2</v>
      </c>
      <c r="Q230" s="5">
        <v>0.97581083514474831</v>
      </c>
      <c r="R230" s="5">
        <v>2.1437225418824681E-2</v>
      </c>
      <c r="S230" s="5">
        <v>3.2757241453572269E-3</v>
      </c>
      <c r="T230" s="5">
        <v>0.84413942770027151</v>
      </c>
      <c r="U230" s="5">
        <v>0.85459850260501935</v>
      </c>
      <c r="V230" s="5">
        <v>1.954184080291737</v>
      </c>
      <c r="W230" s="4">
        <v>1.0122870760250471</v>
      </c>
      <c r="X230" s="6">
        <v>85970.90948724834</v>
      </c>
      <c r="Y230" s="6">
        <v>18831.52519091353</v>
      </c>
      <c r="Z230" s="6">
        <v>4196.4908054589268</v>
      </c>
      <c r="AA230" s="6">
        <v>114460.65219737341</v>
      </c>
      <c r="AB230" s="6">
        <v>950.03774647431601</v>
      </c>
      <c r="AC230" s="3" t="s">
        <v>278</v>
      </c>
      <c r="AD230" s="3" t="s">
        <v>43</v>
      </c>
    </row>
    <row r="231" spans="1:30">
      <c r="A231" s="2">
        <v>46151</v>
      </c>
      <c r="B231" s="3" t="s">
        <v>30</v>
      </c>
      <c r="C231" s="3" t="s">
        <v>56</v>
      </c>
      <c r="D231" s="3" t="s">
        <v>45</v>
      </c>
      <c r="E231" s="3" t="s">
        <v>33</v>
      </c>
      <c r="F231" s="3" t="s">
        <v>34</v>
      </c>
      <c r="G231" s="4">
        <v>83.341480411727474</v>
      </c>
      <c r="H231" s="4">
        <v>149.63768860169861</v>
      </c>
      <c r="I231" s="4">
        <v>159.79040276238399</v>
      </c>
      <c r="J231" s="4">
        <v>8.45746734383766</v>
      </c>
      <c r="K231" s="4">
        <v>8.025320997034445</v>
      </c>
      <c r="L231" s="4">
        <v>25.928780808192919</v>
      </c>
      <c r="M231" s="4">
        <v>16.44597625678978</v>
      </c>
      <c r="N231" s="4">
        <v>131.98423857034501</v>
      </c>
      <c r="O231" s="4">
        <v>2340.8231895450058</v>
      </c>
      <c r="P231" s="5">
        <v>6.3537696790107165E-2</v>
      </c>
      <c r="Q231" s="5">
        <v>0.93646230320989277</v>
      </c>
      <c r="R231" s="5">
        <v>1.345540322799579E-2</v>
      </c>
      <c r="S231" s="5">
        <v>1.7624404870994839E-2</v>
      </c>
      <c r="T231" s="5">
        <v>0.86025383477509287</v>
      </c>
      <c r="U231" s="5">
        <v>0.84200673243903768</v>
      </c>
      <c r="V231" s="5">
        <v>1.7954767285444351</v>
      </c>
      <c r="W231" s="4">
        <v>1.133754228706215</v>
      </c>
      <c r="X231" s="6">
        <v>139806.9490663411</v>
      </c>
      <c r="Y231" s="6">
        <v>21506.744262454231</v>
      </c>
      <c r="Z231" s="6">
        <v>6270.1702794690609</v>
      </c>
      <c r="AA231" s="6">
        <v>173709.93344851799</v>
      </c>
      <c r="AB231" s="6">
        <v>1160.870199692099</v>
      </c>
      <c r="AC231" s="3" t="s">
        <v>279</v>
      </c>
      <c r="AD231" s="3" t="s">
        <v>41</v>
      </c>
    </row>
    <row r="232" spans="1:30">
      <c r="A232" s="2">
        <v>46152</v>
      </c>
      <c r="B232" s="3" t="s">
        <v>30</v>
      </c>
      <c r="C232" s="3" t="s">
        <v>56</v>
      </c>
      <c r="D232" s="3" t="s">
        <v>45</v>
      </c>
      <c r="E232" s="3" t="s">
        <v>46</v>
      </c>
      <c r="F232" s="3" t="s">
        <v>47</v>
      </c>
      <c r="G232" s="4">
        <v>57.539338723051152</v>
      </c>
      <c r="H232" s="4">
        <v>164.44376047720669</v>
      </c>
      <c r="I232" s="4">
        <v>171.2589991150914</v>
      </c>
      <c r="J232" s="4">
        <v>7.3783945786237197</v>
      </c>
      <c r="K232" s="4">
        <v>7.2347802626713369</v>
      </c>
      <c r="L232" s="4">
        <v>8.6168589571429948</v>
      </c>
      <c r="M232" s="4">
        <v>15.92955991726846</v>
      </c>
      <c r="N232" s="4">
        <v>115.2468656824943</v>
      </c>
      <c r="O232" s="4">
        <v>2533.312297798584</v>
      </c>
      <c r="P232" s="5">
        <v>3.9794922737488338E-2</v>
      </c>
      <c r="Q232" s="5">
        <v>0.9602050772625117</v>
      </c>
      <c r="R232" s="5">
        <v>1.4881180918017489E-2</v>
      </c>
      <c r="S232" s="5">
        <v>1.119903177441773E-2</v>
      </c>
      <c r="T232" s="5">
        <v>0.89883632514648382</v>
      </c>
      <c r="U232" s="5">
        <v>0.91504460777126495</v>
      </c>
      <c r="V232" s="5">
        <v>2.8579362246185842</v>
      </c>
      <c r="W232" s="4">
        <v>1.426882713932109</v>
      </c>
      <c r="X232" s="6">
        <v>129206.9663528739</v>
      </c>
      <c r="Y232" s="6">
        <v>20983.69193630161</v>
      </c>
      <c r="Z232" s="6">
        <v>5290.6294790956836</v>
      </c>
      <c r="AA232" s="6">
        <v>158156.33250433629</v>
      </c>
      <c r="AB232" s="6">
        <v>961.76548167820602</v>
      </c>
      <c r="AC232" s="3" t="s">
        <v>280</v>
      </c>
      <c r="AD232" s="3" t="s">
        <v>43</v>
      </c>
    </row>
    <row r="233" spans="1:30">
      <c r="A233" s="2">
        <v>46153</v>
      </c>
      <c r="B233" s="3" t="s">
        <v>30</v>
      </c>
      <c r="C233" s="3" t="s">
        <v>44</v>
      </c>
      <c r="D233" s="3" t="s">
        <v>37</v>
      </c>
      <c r="E233" s="3" t="s">
        <v>46</v>
      </c>
      <c r="F233" s="3" t="s">
        <v>47</v>
      </c>
      <c r="G233" s="4">
        <v>108.0894622594959</v>
      </c>
      <c r="H233" s="4">
        <v>146.20925553480171</v>
      </c>
      <c r="I233" s="4">
        <v>151.97673911093</v>
      </c>
      <c r="J233" s="4">
        <v>8.281112500635663</v>
      </c>
      <c r="K233" s="4">
        <v>8.0901535759019971</v>
      </c>
      <c r="L233" s="4">
        <v>11.457535484019949</v>
      </c>
      <c r="M233" s="4">
        <v>18.901846363610691</v>
      </c>
      <c r="N233" s="4">
        <v>152.91883994971519</v>
      </c>
      <c r="O233" s="4">
        <v>2362.548357064255</v>
      </c>
      <c r="P233" s="5">
        <v>3.7949778432333173E-2</v>
      </c>
      <c r="Q233" s="5">
        <v>0.96205022156766684</v>
      </c>
      <c r="R233" s="5">
        <v>2.383534797831623E-2</v>
      </c>
      <c r="S233" s="5">
        <v>1.419669209081219E-2</v>
      </c>
      <c r="T233" s="5">
        <v>0.85196766517528055</v>
      </c>
      <c r="U233" s="5">
        <v>0.86153071168072171</v>
      </c>
      <c r="V233" s="5">
        <v>1.352668914050009</v>
      </c>
      <c r="W233" s="4">
        <v>0.95612323231643781</v>
      </c>
      <c r="X233" s="6">
        <v>125703.2538110543</v>
      </c>
      <c r="Y233" s="6">
        <v>26896.996386553521</v>
      </c>
      <c r="Z233" s="6">
        <v>5448.2476209062879</v>
      </c>
      <c r="AA233" s="6">
        <v>163444.91072426061</v>
      </c>
      <c r="AB233" s="6">
        <v>1117.883475477764</v>
      </c>
      <c r="AC233" s="3" t="s">
        <v>281</v>
      </c>
      <c r="AD233" s="3" t="s">
        <v>36</v>
      </c>
    </row>
    <row r="234" spans="1:30">
      <c r="A234" s="2">
        <v>46154</v>
      </c>
      <c r="B234" s="3" t="s">
        <v>30</v>
      </c>
      <c r="C234" s="3" t="s">
        <v>56</v>
      </c>
      <c r="D234" s="3" t="s">
        <v>32</v>
      </c>
      <c r="E234" s="3" t="s">
        <v>50</v>
      </c>
      <c r="F234" s="3" t="s">
        <v>51</v>
      </c>
      <c r="G234" s="4">
        <v>128.14837204910049</v>
      </c>
      <c r="H234" s="4">
        <v>98.369700580295387</v>
      </c>
      <c r="I234" s="4">
        <v>103.978082659509</v>
      </c>
      <c r="J234" s="4">
        <v>7.7636849656941429</v>
      </c>
      <c r="K234" s="4">
        <v>7.7007010091906016</v>
      </c>
      <c r="L234" s="4">
        <v>3.7790373902124692</v>
      </c>
      <c r="M234" s="4">
        <v>17.396728027604901</v>
      </c>
      <c r="N234" s="4">
        <v>133.9670010787915</v>
      </c>
      <c r="O234" s="4">
        <v>1724.728966279426</v>
      </c>
      <c r="P234" s="5">
        <v>5.393811787796686E-2</v>
      </c>
      <c r="Q234" s="5">
        <v>0.94606188212203313</v>
      </c>
      <c r="R234" s="5">
        <v>2E-3</v>
      </c>
      <c r="S234" s="5">
        <v>7.6400360404790587E-3</v>
      </c>
      <c r="T234" s="5">
        <v>0.69875171462871566</v>
      </c>
      <c r="U234" s="5">
        <v>0.52796208416250223</v>
      </c>
      <c r="V234" s="5">
        <v>0.76762348992310825</v>
      </c>
      <c r="W234" s="4">
        <v>0.73428306812989041</v>
      </c>
      <c r="X234" s="6">
        <v>89358.480493333584</v>
      </c>
      <c r="Y234" s="6">
        <v>22235.09335517693</v>
      </c>
      <c r="Z234" s="6">
        <v>3525.01648800262</v>
      </c>
      <c r="AA234" s="6">
        <v>119725.9528744948</v>
      </c>
      <c r="AB234" s="6">
        <v>1217.1019345206521</v>
      </c>
      <c r="AC234" s="3" t="s">
        <v>282</v>
      </c>
      <c r="AD234" s="3" t="s">
        <v>43</v>
      </c>
    </row>
    <row r="235" spans="1:30">
      <c r="A235" s="2">
        <v>46155</v>
      </c>
      <c r="B235" s="3" t="s">
        <v>30</v>
      </c>
      <c r="C235" s="3" t="s">
        <v>56</v>
      </c>
      <c r="D235" s="3" t="s">
        <v>45</v>
      </c>
      <c r="E235" s="3" t="s">
        <v>38</v>
      </c>
      <c r="F235" s="3" t="s">
        <v>39</v>
      </c>
      <c r="G235" s="4">
        <v>133.7020752072155</v>
      </c>
      <c r="H235" s="4">
        <v>123.7011674934968</v>
      </c>
      <c r="I235" s="4">
        <v>129.47748789977919</v>
      </c>
      <c r="J235" s="4">
        <v>7.5630350833733528</v>
      </c>
      <c r="K235" s="4">
        <v>7.3979759233731164</v>
      </c>
      <c r="L235" s="4">
        <v>9.9035496000142</v>
      </c>
      <c r="M235" s="4">
        <v>15.055110382006969</v>
      </c>
      <c r="N235" s="4">
        <v>111.3773441298122</v>
      </c>
      <c r="O235" s="4">
        <v>1992.452707711682</v>
      </c>
      <c r="P235" s="5">
        <v>4.461254616519493E-2</v>
      </c>
      <c r="Q235" s="5">
        <v>0.95538745383480494</v>
      </c>
      <c r="R235" s="5">
        <v>3.4569384238351188E-2</v>
      </c>
      <c r="S235" s="5">
        <v>1.2790969328904391E-2</v>
      </c>
      <c r="T235" s="5">
        <v>0.91263900911726292</v>
      </c>
      <c r="U235" s="5">
        <v>0.81538101727248691</v>
      </c>
      <c r="V235" s="5">
        <v>0.92520005618297974</v>
      </c>
      <c r="W235" s="4">
        <v>1.1106492838374831</v>
      </c>
      <c r="X235" s="6">
        <v>112084.5943167756</v>
      </c>
      <c r="Y235" s="6">
        <v>18593.80548543467</v>
      </c>
      <c r="Z235" s="6">
        <v>5377.5336474738533</v>
      </c>
      <c r="AA235" s="6">
        <v>140128.88976668561</v>
      </c>
      <c r="AB235" s="6">
        <v>1132.801675247345</v>
      </c>
      <c r="AC235" s="3" t="s">
        <v>283</v>
      </c>
      <c r="AD235" s="3" t="s">
        <v>41</v>
      </c>
    </row>
    <row r="236" spans="1:30">
      <c r="A236" s="2">
        <v>46156</v>
      </c>
      <c r="B236" s="3" t="s">
        <v>30</v>
      </c>
      <c r="C236" s="3" t="s">
        <v>63</v>
      </c>
      <c r="D236" s="3" t="s">
        <v>45</v>
      </c>
      <c r="E236" s="3" t="s">
        <v>46</v>
      </c>
      <c r="F236" s="3" t="s">
        <v>47</v>
      </c>
      <c r="G236" s="4">
        <v>138.38916140188911</v>
      </c>
      <c r="H236" s="4">
        <v>96.587761885766795</v>
      </c>
      <c r="I236" s="4">
        <v>102.5056010511187</v>
      </c>
      <c r="J236" s="4">
        <v>7.6802378690328288</v>
      </c>
      <c r="K236" s="4">
        <v>7.506294052266691</v>
      </c>
      <c r="L236" s="4">
        <v>10.436629005968269</v>
      </c>
      <c r="M236" s="4">
        <v>18.00519937942946</v>
      </c>
      <c r="N236" s="4">
        <v>135.15232101168729</v>
      </c>
      <c r="O236" s="4">
        <v>1871.714362537449</v>
      </c>
      <c r="P236" s="5">
        <v>5.773186152433521E-2</v>
      </c>
      <c r="Q236" s="5">
        <v>0.94226813847566482</v>
      </c>
      <c r="R236" s="5">
        <v>1.1880837088935481E-2</v>
      </c>
      <c r="S236" s="5">
        <v>1.953434964708356E-2</v>
      </c>
      <c r="T236" s="5">
        <v>0.73885142352158484</v>
      </c>
      <c r="U236" s="5">
        <v>0.49415184956159153</v>
      </c>
      <c r="V236" s="5">
        <v>0.69794311134866338</v>
      </c>
      <c r="W236" s="4">
        <v>0.71465855090579167</v>
      </c>
      <c r="X236" s="6">
        <v>86394.525137548029</v>
      </c>
      <c r="Y236" s="6">
        <v>22150.460677698189</v>
      </c>
      <c r="Z236" s="6">
        <v>3970.1071063597842</v>
      </c>
      <c r="AA236" s="6">
        <v>117808.10560835341</v>
      </c>
      <c r="AB236" s="6">
        <v>1219.700128756308</v>
      </c>
      <c r="AC236" s="3" t="s">
        <v>284</v>
      </c>
      <c r="AD236" s="3" t="s">
        <v>43</v>
      </c>
    </row>
    <row r="237" spans="1:30">
      <c r="A237" s="2">
        <v>46157</v>
      </c>
      <c r="B237" s="3" t="s">
        <v>30</v>
      </c>
      <c r="C237" s="3" t="s">
        <v>63</v>
      </c>
      <c r="D237" s="3" t="s">
        <v>37</v>
      </c>
      <c r="E237" s="3" t="s">
        <v>38</v>
      </c>
      <c r="F237" s="3" t="s">
        <v>39</v>
      </c>
      <c r="G237" s="4">
        <v>135.70861310617971</v>
      </c>
      <c r="H237" s="4">
        <v>138.087075357289</v>
      </c>
      <c r="I237" s="4">
        <v>142.39288496547931</v>
      </c>
      <c r="J237" s="4">
        <v>8.304492224135581</v>
      </c>
      <c r="K237" s="4">
        <v>7.9480068187638029</v>
      </c>
      <c r="L237" s="4">
        <v>21.389124322306699</v>
      </c>
      <c r="M237" s="4">
        <v>12.767341074437971</v>
      </c>
      <c r="N237" s="4">
        <v>101.4749139171162</v>
      </c>
      <c r="O237" s="4">
        <v>2340.268355599419</v>
      </c>
      <c r="P237" s="5">
        <v>3.0238937916273589E-2</v>
      </c>
      <c r="Q237" s="5">
        <v>0.96976106208372626</v>
      </c>
      <c r="R237" s="5">
        <v>2.3968664918538149E-2</v>
      </c>
      <c r="S237" s="5">
        <v>1E-3</v>
      </c>
      <c r="T237" s="5">
        <v>0.92957722943967647</v>
      </c>
      <c r="U237" s="5">
        <v>0.90436080684037412</v>
      </c>
      <c r="V237" s="5">
        <v>1.017526243888798</v>
      </c>
      <c r="W237" s="4">
        <v>1.360800123172091</v>
      </c>
      <c r="X237" s="6">
        <v>94542.989853316598</v>
      </c>
      <c r="Y237" s="6">
        <v>19255.277905618081</v>
      </c>
      <c r="Z237" s="6">
        <v>5065.8316916800286</v>
      </c>
      <c r="AA237" s="6">
        <v>122755.6985793565</v>
      </c>
      <c r="AB237" s="6">
        <v>888.97312266000381</v>
      </c>
      <c r="AC237" s="3" t="s">
        <v>285</v>
      </c>
      <c r="AD237" s="3" t="s">
        <v>36</v>
      </c>
    </row>
    <row r="238" spans="1:30">
      <c r="A238" s="2">
        <v>46158</v>
      </c>
      <c r="B238" s="3" t="s">
        <v>30</v>
      </c>
      <c r="C238" s="3" t="s">
        <v>56</v>
      </c>
      <c r="D238" s="3" t="s">
        <v>37</v>
      </c>
      <c r="E238" s="3" t="s">
        <v>33</v>
      </c>
      <c r="F238" s="3" t="s">
        <v>34</v>
      </c>
      <c r="G238" s="4">
        <v>113.84420454924179</v>
      </c>
      <c r="H238" s="4">
        <v>130.2857915418206</v>
      </c>
      <c r="I238" s="4">
        <v>135.28648463319851</v>
      </c>
      <c r="J238" s="4">
        <v>7.4514257718980597</v>
      </c>
      <c r="K238" s="4">
        <v>7.1647294963031589</v>
      </c>
      <c r="L238" s="4">
        <v>17.201776535694069</v>
      </c>
      <c r="M238" s="4">
        <v>15.565460708409081</v>
      </c>
      <c r="N238" s="4">
        <v>111.52231546108639</v>
      </c>
      <c r="O238" s="4">
        <v>2182.669685492348</v>
      </c>
      <c r="P238" s="5">
        <v>3.696373000552336E-2</v>
      </c>
      <c r="Q238" s="5">
        <v>0.96303626999447656</v>
      </c>
      <c r="R238" s="5">
        <v>2.074868868370057E-2</v>
      </c>
      <c r="S238" s="5">
        <v>1.6347841503580669E-2</v>
      </c>
      <c r="T238" s="5">
        <v>0.74570105070889203</v>
      </c>
      <c r="U238" s="5">
        <v>0.74055278944050074</v>
      </c>
      <c r="V238" s="5">
        <v>1.144421818024713</v>
      </c>
      <c r="W238" s="4">
        <v>1.1682486236333689</v>
      </c>
      <c r="X238" s="6">
        <v>113543.83014765471</v>
      </c>
      <c r="Y238" s="6">
        <v>17033.543776578841</v>
      </c>
      <c r="Z238" s="6">
        <v>4653.0706915762057</v>
      </c>
      <c r="AA238" s="6">
        <v>141995.23554569</v>
      </c>
      <c r="AB238" s="6">
        <v>1089.8750651571299</v>
      </c>
      <c r="AC238" s="3" t="s">
        <v>286</v>
      </c>
      <c r="AD238" s="3" t="s">
        <v>49</v>
      </c>
    </row>
    <row r="239" spans="1:30">
      <c r="A239" s="2">
        <v>46159</v>
      </c>
      <c r="B239" s="3" t="s">
        <v>30</v>
      </c>
      <c r="C239" s="3" t="s">
        <v>31</v>
      </c>
      <c r="D239" s="3" t="s">
        <v>32</v>
      </c>
      <c r="E239" s="3" t="s">
        <v>46</v>
      </c>
      <c r="F239" s="3" t="s">
        <v>47</v>
      </c>
      <c r="G239" s="4">
        <v>138.23532657420799</v>
      </c>
      <c r="H239" s="4">
        <v>157.32244633747149</v>
      </c>
      <c r="I239" s="4">
        <v>162.33830647267229</v>
      </c>
      <c r="J239" s="4">
        <v>8.2478376028884064</v>
      </c>
      <c r="K239" s="4">
        <v>7.9370895927769407</v>
      </c>
      <c r="L239" s="4">
        <v>18.644880606687959</v>
      </c>
      <c r="M239" s="4">
        <v>10.51861936973107</v>
      </c>
      <c r="N239" s="4">
        <v>83.487224329874451</v>
      </c>
      <c r="O239" s="4">
        <v>2571.2678612088489</v>
      </c>
      <c r="P239" s="5">
        <v>3.0897575835221298E-2</v>
      </c>
      <c r="Q239" s="5">
        <v>0.96910242416477865</v>
      </c>
      <c r="R239" s="5">
        <v>2.7743190318993791E-2</v>
      </c>
      <c r="S239" s="5">
        <v>8.586161377060933E-3</v>
      </c>
      <c r="T239" s="5">
        <v>0.84746349057873371</v>
      </c>
      <c r="U239" s="5">
        <v>0.8489584876162608</v>
      </c>
      <c r="V239" s="5">
        <v>1.138077004165915</v>
      </c>
      <c r="W239" s="4">
        <v>1.8843894691702721</v>
      </c>
      <c r="X239" s="6">
        <v>139368.05506841099</v>
      </c>
      <c r="Y239" s="6">
        <v>12800.56790892784</v>
      </c>
      <c r="Z239" s="6">
        <v>5899.0676421525231</v>
      </c>
      <c r="AA239" s="6">
        <v>163852.75277181371</v>
      </c>
      <c r="AB239" s="6">
        <v>1041.5090572665899</v>
      </c>
      <c r="AC239" s="3" t="s">
        <v>287</v>
      </c>
      <c r="AD239" s="3" t="s">
        <v>43</v>
      </c>
    </row>
    <row r="240" spans="1:30">
      <c r="A240" s="2">
        <v>46160</v>
      </c>
      <c r="B240" s="3" t="s">
        <v>30</v>
      </c>
      <c r="C240" s="3" t="s">
        <v>63</v>
      </c>
      <c r="D240" s="3" t="s">
        <v>32</v>
      </c>
      <c r="E240" s="3" t="s">
        <v>33</v>
      </c>
      <c r="F240" s="3" t="s">
        <v>34</v>
      </c>
      <c r="G240" s="4">
        <v>111.65733443869991</v>
      </c>
      <c r="H240" s="4">
        <v>131.70131526350761</v>
      </c>
      <c r="I240" s="4">
        <v>141.55016899827319</v>
      </c>
      <c r="J240" s="4">
        <v>8.3616064155310905</v>
      </c>
      <c r="K240" s="4">
        <v>8.099701226027582</v>
      </c>
      <c r="L240" s="4">
        <v>15.71431137021049</v>
      </c>
      <c r="M240" s="4">
        <v>20.14752782852052</v>
      </c>
      <c r="N240" s="4">
        <v>163.18895585409251</v>
      </c>
      <c r="O240" s="4">
        <v>2397.1457611948281</v>
      </c>
      <c r="P240" s="5">
        <v>6.9578537450461858E-2</v>
      </c>
      <c r="Q240" s="5">
        <v>0.93042146254953817</v>
      </c>
      <c r="R240" s="5">
        <v>3.1619888493422871E-2</v>
      </c>
      <c r="S240" s="5">
        <v>3.3045309579013988E-3</v>
      </c>
      <c r="T240" s="5">
        <v>0.85307642768987246</v>
      </c>
      <c r="U240" s="5">
        <v>0.864806614672748</v>
      </c>
      <c r="V240" s="5">
        <v>1.179513338067478</v>
      </c>
      <c r="W240" s="4">
        <v>0.80704796825381964</v>
      </c>
      <c r="X240" s="6">
        <v>108417.7939832117</v>
      </c>
      <c r="Y240" s="6">
        <v>29272.37384960234</v>
      </c>
      <c r="Z240" s="6">
        <v>6402.7500585838952</v>
      </c>
      <c r="AA240" s="6">
        <v>146912.14997488909</v>
      </c>
      <c r="AB240" s="6">
        <v>1115.494933979571</v>
      </c>
      <c r="AC240" s="3" t="s">
        <v>288</v>
      </c>
      <c r="AD240" s="3" t="s">
        <v>43</v>
      </c>
    </row>
    <row r="241" spans="1:30">
      <c r="A241" s="2">
        <v>46161</v>
      </c>
      <c r="B241" s="3" t="s">
        <v>30</v>
      </c>
      <c r="C241" s="3" t="s">
        <v>31</v>
      </c>
      <c r="D241" s="3" t="s">
        <v>37</v>
      </c>
      <c r="E241" s="3" t="s">
        <v>38</v>
      </c>
      <c r="F241" s="3" t="s">
        <v>39</v>
      </c>
      <c r="G241" s="4">
        <v>120.17320308724931</v>
      </c>
      <c r="H241" s="4">
        <v>125.75738526907411</v>
      </c>
      <c r="I241" s="4">
        <v>134.43483064825389</v>
      </c>
      <c r="J241" s="4">
        <v>8.3197631440001523</v>
      </c>
      <c r="K241" s="4">
        <v>7.9332332823185574</v>
      </c>
      <c r="L241" s="4">
        <v>23.19179170089572</v>
      </c>
      <c r="M241" s="4">
        <v>18.09760737310982</v>
      </c>
      <c r="N241" s="4">
        <v>143.57254114268861</v>
      </c>
      <c r="O241" s="4">
        <v>2155.7391423796239</v>
      </c>
      <c r="P241" s="5">
        <v>6.4547597801377379E-2</v>
      </c>
      <c r="Q241" s="5">
        <v>0.93545240219862258</v>
      </c>
      <c r="R241" s="5">
        <v>1.862195691674717E-2</v>
      </c>
      <c r="S241" s="5">
        <v>2.337149838438576E-2</v>
      </c>
      <c r="T241" s="5">
        <v>0.88500119797323074</v>
      </c>
      <c r="U241" s="5">
        <v>0.86245883957017377</v>
      </c>
      <c r="V241" s="5">
        <v>1.046467781821298</v>
      </c>
      <c r="W241" s="4">
        <v>0.87591529876239382</v>
      </c>
      <c r="X241" s="6">
        <v>118179.4497443498</v>
      </c>
      <c r="Y241" s="6">
        <v>22791.426681589401</v>
      </c>
      <c r="Z241" s="6">
        <v>4870.9264848864777</v>
      </c>
      <c r="AA241" s="6">
        <v>149466.20181385541</v>
      </c>
      <c r="AB241" s="6">
        <v>1188.5282243587781</v>
      </c>
      <c r="AC241" s="3" t="s">
        <v>289</v>
      </c>
      <c r="AD241" s="3" t="s">
        <v>36</v>
      </c>
    </row>
    <row r="242" spans="1:30">
      <c r="A242" s="2">
        <v>46162</v>
      </c>
      <c r="B242" s="3" t="s">
        <v>30</v>
      </c>
      <c r="C242" s="3" t="s">
        <v>31</v>
      </c>
      <c r="D242" s="3" t="s">
        <v>37</v>
      </c>
      <c r="E242" s="3" t="s">
        <v>46</v>
      </c>
      <c r="F242" s="3" t="s">
        <v>47</v>
      </c>
      <c r="G242" s="4">
        <v>139.50016285228199</v>
      </c>
      <c r="H242" s="4">
        <v>122.4189413000753</v>
      </c>
      <c r="I242" s="4">
        <v>127.91670666755439</v>
      </c>
      <c r="J242" s="4">
        <v>7.911265845742502</v>
      </c>
      <c r="K242" s="4">
        <v>7.7144081139563276</v>
      </c>
      <c r="L242" s="4">
        <v>11.81146390717044</v>
      </c>
      <c r="M242" s="4">
        <v>16.379766558649202</v>
      </c>
      <c r="N242" s="4">
        <v>126.3602040447539</v>
      </c>
      <c r="O242" s="4">
        <v>2090.7768828317262</v>
      </c>
      <c r="P242" s="5">
        <v>4.2979259791040413E-2</v>
      </c>
      <c r="Q242" s="5">
        <v>0.95702074020895955</v>
      </c>
      <c r="R242" s="5">
        <v>1.442029508945088E-2</v>
      </c>
      <c r="S242" s="5">
        <v>1.356529334416318E-2</v>
      </c>
      <c r="T242" s="5">
        <v>0.66448762070382694</v>
      </c>
      <c r="U242" s="5">
        <v>0.56090043301002646</v>
      </c>
      <c r="V242" s="5">
        <v>0.87755411031100972</v>
      </c>
      <c r="W242" s="4">
        <v>0.96880930373234664</v>
      </c>
      <c r="X242" s="6">
        <v>93374.774758191881</v>
      </c>
      <c r="Y242" s="6">
        <v>22383.98555292733</v>
      </c>
      <c r="Z242" s="6">
        <v>5529.5943311145711</v>
      </c>
      <c r="AA242" s="6">
        <v>125857.1048676958</v>
      </c>
      <c r="AB242" s="6">
        <v>1028.085225465175</v>
      </c>
      <c r="AC242" s="3" t="s">
        <v>290</v>
      </c>
      <c r="AD242" s="3" t="s">
        <v>41</v>
      </c>
    </row>
    <row r="243" spans="1:30">
      <c r="A243" s="2">
        <v>46163</v>
      </c>
      <c r="B243" s="3" t="s">
        <v>30</v>
      </c>
      <c r="C243" s="3" t="s">
        <v>56</v>
      </c>
      <c r="D243" s="3" t="s">
        <v>32</v>
      </c>
      <c r="E243" s="3" t="s">
        <v>38</v>
      </c>
      <c r="F243" s="3" t="s">
        <v>39</v>
      </c>
      <c r="G243" s="4">
        <v>138.33577998753071</v>
      </c>
      <c r="H243" s="4">
        <v>103.7422211027063</v>
      </c>
      <c r="I243" s="4">
        <v>108.9537097908525</v>
      </c>
      <c r="J243" s="4">
        <v>8.0838366696223165</v>
      </c>
      <c r="K243" s="4">
        <v>7.8196694946562513</v>
      </c>
      <c r="L243" s="4">
        <v>15.850030497963919</v>
      </c>
      <c r="M243" s="4">
        <v>17.676770310953511</v>
      </c>
      <c r="N243" s="4">
        <v>138.2265015646085</v>
      </c>
      <c r="O243" s="4">
        <v>1952.836644672507</v>
      </c>
      <c r="P243" s="5">
        <v>4.7832136217758933E-2</v>
      </c>
      <c r="Q243" s="5">
        <v>0.95216786378224105</v>
      </c>
      <c r="R243" s="5">
        <v>2.4626328621321171E-2</v>
      </c>
      <c r="S243" s="5">
        <v>2.2915997366761E-2</v>
      </c>
      <c r="T243" s="5">
        <v>0.69722701000279319</v>
      </c>
      <c r="U243" s="5">
        <v>0.49419459587708431</v>
      </c>
      <c r="V243" s="5">
        <v>0.74993050324404409</v>
      </c>
      <c r="W243" s="4">
        <v>0.75052337958662785</v>
      </c>
      <c r="X243" s="6">
        <v>68927.394881140513</v>
      </c>
      <c r="Y243" s="6">
        <v>20601.216519726659</v>
      </c>
      <c r="Z243" s="6">
        <v>5246.6546853715272</v>
      </c>
      <c r="AA243" s="6">
        <v>101313.4908496729</v>
      </c>
      <c r="AB243" s="6">
        <v>976.5887964686151</v>
      </c>
      <c r="AC243" s="3" t="s">
        <v>291</v>
      </c>
      <c r="AD243" s="3" t="s">
        <v>49</v>
      </c>
    </row>
    <row r="244" spans="1:30">
      <c r="A244" s="2">
        <v>46164</v>
      </c>
      <c r="B244" s="3" t="s">
        <v>30</v>
      </c>
      <c r="C244" s="3" t="s">
        <v>63</v>
      </c>
      <c r="D244" s="3" t="s">
        <v>32</v>
      </c>
      <c r="E244" s="3" t="s">
        <v>46</v>
      </c>
      <c r="F244" s="3" t="s">
        <v>47</v>
      </c>
      <c r="G244" s="4">
        <v>64.261070382610185</v>
      </c>
      <c r="H244" s="4">
        <v>88.199373040677642</v>
      </c>
      <c r="I244" s="4">
        <v>91.326572306640017</v>
      </c>
      <c r="J244" s="4">
        <v>7.6587760469996677</v>
      </c>
      <c r="K244" s="4">
        <v>7.5077196344476889</v>
      </c>
      <c r="L244" s="4">
        <v>9.0633847531187222</v>
      </c>
      <c r="M244" s="4">
        <v>16.901429333606121</v>
      </c>
      <c r="N244" s="4">
        <v>126.89119285814481</v>
      </c>
      <c r="O244" s="4">
        <v>1867.586356103684</v>
      </c>
      <c r="P244" s="5">
        <v>3.4241942810055707E-2</v>
      </c>
      <c r="Q244" s="5">
        <v>0.96575805718994445</v>
      </c>
      <c r="R244" s="5">
        <v>1.6482190235094629E-2</v>
      </c>
      <c r="S244" s="5">
        <v>1.0714332466104631E-2</v>
      </c>
      <c r="T244" s="5">
        <v>0.76472738757368086</v>
      </c>
      <c r="U244" s="5">
        <v>0.77869311736336089</v>
      </c>
      <c r="V244" s="5">
        <v>1.372516400917988</v>
      </c>
      <c r="W244" s="4">
        <v>0.69507876042491112</v>
      </c>
      <c r="X244" s="6">
        <v>69231.307261759299</v>
      </c>
      <c r="Y244" s="6">
        <v>19295.013658464621</v>
      </c>
      <c r="Z244" s="6">
        <v>4544.9155047957547</v>
      </c>
      <c r="AA244" s="6">
        <v>95974.288087935623</v>
      </c>
      <c r="AB244" s="6">
        <v>1088.151590869837</v>
      </c>
      <c r="AC244" s="3" t="s">
        <v>292</v>
      </c>
      <c r="AD244" s="3" t="s">
        <v>36</v>
      </c>
    </row>
    <row r="245" spans="1:30">
      <c r="A245" s="2">
        <v>46165</v>
      </c>
      <c r="B245" s="3" t="s">
        <v>30</v>
      </c>
      <c r="C245" s="3" t="s">
        <v>63</v>
      </c>
      <c r="D245" s="3" t="s">
        <v>37</v>
      </c>
      <c r="E245" s="3" t="s">
        <v>50</v>
      </c>
      <c r="F245" s="3" t="s">
        <v>51</v>
      </c>
      <c r="G245" s="4">
        <v>87.571573053235483</v>
      </c>
      <c r="H245" s="4">
        <v>116.05958973817189</v>
      </c>
      <c r="I245" s="4">
        <v>122.7140889580491</v>
      </c>
      <c r="J245" s="4">
        <v>8.2272683067911796</v>
      </c>
      <c r="K245" s="4">
        <v>7.9619232516725216</v>
      </c>
      <c r="L245" s="4">
        <v>15.92070330711943</v>
      </c>
      <c r="M245" s="4">
        <v>18.24849553710008</v>
      </c>
      <c r="N245" s="4">
        <v>145.29312092487939</v>
      </c>
      <c r="O245" s="4">
        <v>2091.1136986566039</v>
      </c>
      <c r="P245" s="5">
        <v>5.4227670810905453E-2</v>
      </c>
      <c r="Q245" s="5">
        <v>0.9457723291890946</v>
      </c>
      <c r="R245" s="5">
        <v>2.5208115457864659E-2</v>
      </c>
      <c r="S245" s="5">
        <v>5.7985760944779833E-3</v>
      </c>
      <c r="T245" s="5">
        <v>0.86450075394691783</v>
      </c>
      <c r="U245" s="5">
        <v>0.87335614929600003</v>
      </c>
      <c r="V245" s="5">
        <v>1.3253112361886921</v>
      </c>
      <c r="W245" s="4">
        <v>0.79879617836950412</v>
      </c>
      <c r="X245" s="6">
        <v>104209.25044391031</v>
      </c>
      <c r="Y245" s="6">
        <v>23576.97367238078</v>
      </c>
      <c r="Z245" s="6">
        <v>5399.0034261048759</v>
      </c>
      <c r="AA245" s="6">
        <v>136555.69390248231</v>
      </c>
      <c r="AB245" s="6">
        <v>1176.599832987082</v>
      </c>
      <c r="AC245" s="3" t="s">
        <v>293</v>
      </c>
      <c r="AD245" s="3" t="s">
        <v>43</v>
      </c>
    </row>
    <row r="246" spans="1:30">
      <c r="A246" s="2">
        <v>46166</v>
      </c>
      <c r="B246" s="3" t="s">
        <v>30</v>
      </c>
      <c r="C246" s="3" t="s">
        <v>31</v>
      </c>
      <c r="D246" s="3" t="s">
        <v>37</v>
      </c>
      <c r="E246" s="3" t="s">
        <v>33</v>
      </c>
      <c r="F246" s="3" t="s">
        <v>34</v>
      </c>
      <c r="G246" s="4">
        <v>91.064419689098074</v>
      </c>
      <c r="H246" s="4">
        <v>155.58197067343229</v>
      </c>
      <c r="I246" s="4">
        <v>164.006273026152</v>
      </c>
      <c r="J246" s="4">
        <v>7.2222497850726137</v>
      </c>
      <c r="K246" s="4">
        <v>6.9700281265478754</v>
      </c>
      <c r="L246" s="4">
        <v>15.13329951148428</v>
      </c>
      <c r="M246" s="4">
        <v>13.843705001594911</v>
      </c>
      <c r="N246" s="4">
        <v>96.491013236747989</v>
      </c>
      <c r="O246" s="4">
        <v>2496.9042861936232</v>
      </c>
      <c r="P246" s="5">
        <v>5.1365732525221169E-2</v>
      </c>
      <c r="Q246" s="5">
        <v>0.94863426747477886</v>
      </c>
      <c r="R246" s="5">
        <v>4.1635906852842908E-2</v>
      </c>
      <c r="S246" s="5">
        <v>3.1786979041594052E-3</v>
      </c>
      <c r="T246" s="5">
        <v>0.86773193367465373</v>
      </c>
      <c r="U246" s="5">
        <v>0.87650463239560217</v>
      </c>
      <c r="V246" s="5">
        <v>1.7084825358202771</v>
      </c>
      <c r="W246" s="4">
        <v>1.6123985587310621</v>
      </c>
      <c r="X246" s="6">
        <v>104702.0789033835</v>
      </c>
      <c r="Y246" s="6">
        <v>17273.881698476649</v>
      </c>
      <c r="Z246" s="6">
        <v>6864.1861341491867</v>
      </c>
      <c r="AA246" s="6">
        <v>131401.59037230411</v>
      </c>
      <c r="AB246" s="6">
        <v>844.58108997807324</v>
      </c>
      <c r="AC246" s="3" t="s">
        <v>294</v>
      </c>
      <c r="AD246" s="3" t="s">
        <v>49</v>
      </c>
    </row>
    <row r="247" spans="1:30">
      <c r="A247" s="2">
        <v>46167</v>
      </c>
      <c r="B247" s="3" t="s">
        <v>30</v>
      </c>
      <c r="C247" s="3" t="s">
        <v>56</v>
      </c>
      <c r="D247" s="3" t="s">
        <v>37</v>
      </c>
      <c r="E247" s="3" t="s">
        <v>38</v>
      </c>
      <c r="F247" s="3" t="s">
        <v>39</v>
      </c>
      <c r="G247" s="4">
        <v>134.21983691979659</v>
      </c>
      <c r="H247" s="4">
        <v>149.783530602279</v>
      </c>
      <c r="I247" s="4">
        <v>156.2266739127295</v>
      </c>
      <c r="J247" s="4">
        <v>8.2440384049448738</v>
      </c>
      <c r="K247" s="4">
        <v>7.9075843449561471</v>
      </c>
      <c r="L247" s="4">
        <v>20.187243599323619</v>
      </c>
      <c r="M247" s="4">
        <v>17.015360338243731</v>
      </c>
      <c r="N247" s="4">
        <v>134.55039703448389</v>
      </c>
      <c r="O247" s="4">
        <v>2341.980315731349</v>
      </c>
      <c r="P247" s="5">
        <v>4.1242274120549399E-2</v>
      </c>
      <c r="Q247" s="5">
        <v>0.95875772587945063</v>
      </c>
      <c r="R247" s="5">
        <v>2.1435088572296802E-2</v>
      </c>
      <c r="S247" s="5">
        <v>1.392295859331576E-2</v>
      </c>
      <c r="T247" s="5">
        <v>0.90019803388250752</v>
      </c>
      <c r="U247" s="5">
        <v>0.89400929288563002</v>
      </c>
      <c r="V247" s="5">
        <v>1.1159567321765009</v>
      </c>
      <c r="W247" s="4">
        <v>1.113215077053181</v>
      </c>
      <c r="X247" s="6">
        <v>105930.77253090301</v>
      </c>
      <c r="Y247" s="6">
        <v>22543.280261834268</v>
      </c>
      <c r="Z247" s="6">
        <v>4843.9629842752711</v>
      </c>
      <c r="AA247" s="6">
        <v>137389.94032931491</v>
      </c>
      <c r="AB247" s="6">
        <v>917.25665550057818</v>
      </c>
      <c r="AC247" s="3" t="s">
        <v>295</v>
      </c>
      <c r="AD247" s="3" t="s">
        <v>43</v>
      </c>
    </row>
    <row r="248" spans="1:30">
      <c r="A248" s="2">
        <v>46168</v>
      </c>
      <c r="B248" s="3" t="s">
        <v>30</v>
      </c>
      <c r="C248" s="3" t="s">
        <v>63</v>
      </c>
      <c r="D248" s="3" t="s">
        <v>37</v>
      </c>
      <c r="E248" s="3" t="s">
        <v>46</v>
      </c>
      <c r="F248" s="3" t="s">
        <v>47</v>
      </c>
      <c r="G248" s="4">
        <v>93.185342689481359</v>
      </c>
      <c r="H248" s="4">
        <v>107.30159823203461</v>
      </c>
      <c r="I248" s="4">
        <v>112.5491324431494</v>
      </c>
      <c r="J248" s="4">
        <v>7.3359836762617103</v>
      </c>
      <c r="K248" s="4">
        <v>7.1844388329227984</v>
      </c>
      <c r="L248" s="4">
        <v>9.0926906003346915</v>
      </c>
      <c r="M248" s="4">
        <v>18.24975430293577</v>
      </c>
      <c r="N248" s="4">
        <v>131.11424350531169</v>
      </c>
      <c r="O248" s="4">
        <v>2070.9725407838259</v>
      </c>
      <c r="P248" s="5">
        <v>4.6624386143228648E-2</v>
      </c>
      <c r="Q248" s="5">
        <v>0.95337561385677139</v>
      </c>
      <c r="R248" s="5">
        <v>1.650061166841383E-2</v>
      </c>
      <c r="S248" s="5">
        <v>1.210822920972175E-2</v>
      </c>
      <c r="T248" s="5">
        <v>0.82451879648745696</v>
      </c>
      <c r="U248" s="5">
        <v>0.83759431851169319</v>
      </c>
      <c r="V248" s="5">
        <v>1.1514857930993769</v>
      </c>
      <c r="W248" s="4">
        <v>0.81838246832189276</v>
      </c>
      <c r="X248" s="6">
        <v>71712.777271466621</v>
      </c>
      <c r="Y248" s="6">
        <v>24490.331960827731</v>
      </c>
      <c r="Z248" s="6">
        <v>5232.8636375403412</v>
      </c>
      <c r="AA248" s="6">
        <v>107964.0638675137</v>
      </c>
      <c r="AB248" s="6">
        <v>1006.173865500554</v>
      </c>
      <c r="AC248" s="3" t="s">
        <v>296</v>
      </c>
      <c r="AD248" s="3" t="s">
        <v>49</v>
      </c>
    </row>
    <row r="249" spans="1:30">
      <c r="A249" s="2">
        <v>46169</v>
      </c>
      <c r="B249" s="3" t="s">
        <v>30</v>
      </c>
      <c r="C249" s="3" t="s">
        <v>31</v>
      </c>
      <c r="D249" s="3" t="s">
        <v>32</v>
      </c>
      <c r="E249" s="3" t="s">
        <v>46</v>
      </c>
      <c r="F249" s="3" t="s">
        <v>47</v>
      </c>
      <c r="G249" s="4">
        <v>105.27914457672421</v>
      </c>
      <c r="H249" s="4">
        <v>119.9062086164838</v>
      </c>
      <c r="I249" s="4">
        <v>125.79638382604691</v>
      </c>
      <c r="J249" s="4">
        <v>7.9281456669073878</v>
      </c>
      <c r="K249" s="4">
        <v>7.8895869163625729</v>
      </c>
      <c r="L249" s="4">
        <v>2.3135250326888719</v>
      </c>
      <c r="M249" s="4">
        <v>14.448613010743999</v>
      </c>
      <c r="N249" s="4">
        <v>113.99358816915191</v>
      </c>
      <c r="O249" s="4">
        <v>2093.2098124600971</v>
      </c>
      <c r="P249" s="5">
        <v>4.6823088473736917E-2</v>
      </c>
      <c r="Q249" s="5">
        <v>0.95317691152626305</v>
      </c>
      <c r="R249" s="5">
        <v>6.5068044026526731E-3</v>
      </c>
      <c r="S249" s="5">
        <v>9.5187854447534165E-3</v>
      </c>
      <c r="T249" s="5">
        <v>0.85746767394448542</v>
      </c>
      <c r="U249" s="5">
        <v>0.8874337524122915</v>
      </c>
      <c r="V249" s="5">
        <v>1.1389360076828881</v>
      </c>
      <c r="W249" s="4">
        <v>1.0518680089143111</v>
      </c>
      <c r="X249" s="6">
        <v>92360.382914917864</v>
      </c>
      <c r="Y249" s="6">
        <v>19836.053872644439</v>
      </c>
      <c r="Z249" s="6">
        <v>4204.3825948812519</v>
      </c>
      <c r="AA249" s="6">
        <v>121169.37270771329</v>
      </c>
      <c r="AB249" s="6">
        <v>1010.534601217104</v>
      </c>
      <c r="AC249" s="3" t="s">
        <v>297</v>
      </c>
      <c r="AD249" s="3" t="s">
        <v>49</v>
      </c>
    </row>
    <row r="250" spans="1:30">
      <c r="A250" s="2">
        <v>46170</v>
      </c>
      <c r="B250" s="3" t="s">
        <v>30</v>
      </c>
      <c r="C250" s="3" t="s">
        <v>63</v>
      </c>
      <c r="D250" s="3" t="s">
        <v>37</v>
      </c>
      <c r="E250" s="3" t="s">
        <v>50</v>
      </c>
      <c r="F250" s="3" t="s">
        <v>51</v>
      </c>
      <c r="G250" s="4">
        <v>97.22267850074644</v>
      </c>
      <c r="H250" s="4">
        <v>160.85468135728431</v>
      </c>
      <c r="I250" s="4">
        <v>172.1702025399635</v>
      </c>
      <c r="J250" s="4">
        <v>8.497807138533414</v>
      </c>
      <c r="K250" s="4">
        <v>8.278130998286775</v>
      </c>
      <c r="L250" s="4">
        <v>13.18056841479835</v>
      </c>
      <c r="M250" s="4">
        <v>16.837051588037649</v>
      </c>
      <c r="N250" s="4">
        <v>139.37931867068809</v>
      </c>
      <c r="O250" s="4">
        <v>2378.467652337074</v>
      </c>
      <c r="P250" s="5">
        <v>6.572287780199737E-2</v>
      </c>
      <c r="Q250" s="5">
        <v>0.93427712219800263</v>
      </c>
      <c r="R250" s="5">
        <v>3.1577502622100767E-2</v>
      </c>
      <c r="S250" s="5">
        <v>1E-3</v>
      </c>
      <c r="T250" s="5">
        <v>0.91402924821484199</v>
      </c>
      <c r="U250" s="5">
        <v>0.93398586714237608</v>
      </c>
      <c r="V250" s="5">
        <v>1.6544975291546751</v>
      </c>
      <c r="W250" s="4">
        <v>1.1540785454500331</v>
      </c>
      <c r="X250" s="6">
        <v>128491.13508606949</v>
      </c>
      <c r="Y250" s="6">
        <v>25003.988979234509</v>
      </c>
      <c r="Z250" s="6">
        <v>6466.3925880624556</v>
      </c>
      <c r="AA250" s="6">
        <v>163794.16417762559</v>
      </c>
      <c r="AB250" s="6">
        <v>1018.274151523214</v>
      </c>
      <c r="AC250" s="3" t="s">
        <v>298</v>
      </c>
      <c r="AD250" s="3" t="s">
        <v>36</v>
      </c>
    </row>
    <row r="251" spans="1:30">
      <c r="A251" s="2">
        <v>46171</v>
      </c>
      <c r="B251" s="3" t="s">
        <v>30</v>
      </c>
      <c r="C251" s="3" t="s">
        <v>63</v>
      </c>
      <c r="D251" s="3" t="s">
        <v>45</v>
      </c>
      <c r="E251" s="3" t="s">
        <v>46</v>
      </c>
      <c r="F251" s="3" t="s">
        <v>47</v>
      </c>
      <c r="G251" s="4">
        <v>88.153882950568544</v>
      </c>
      <c r="H251" s="4">
        <v>131.0016369683255</v>
      </c>
      <c r="I251" s="4">
        <v>137.62557215779719</v>
      </c>
      <c r="J251" s="4">
        <v>8.4816548621745369</v>
      </c>
      <c r="K251" s="4">
        <v>8.4051829041102462</v>
      </c>
      <c r="L251" s="4">
        <v>4.588317483857467</v>
      </c>
      <c r="M251" s="4">
        <v>12.953157071077269</v>
      </c>
      <c r="N251" s="4">
        <v>108.8736543680734</v>
      </c>
      <c r="O251" s="4">
        <v>2184.2824256489012</v>
      </c>
      <c r="P251" s="5">
        <v>4.8130119174922298E-2</v>
      </c>
      <c r="Q251" s="5">
        <v>0.95186988082507773</v>
      </c>
      <c r="R251" s="5">
        <v>3.7325023715766972E-2</v>
      </c>
      <c r="S251" s="5">
        <v>6.7898029159149673E-3</v>
      </c>
      <c r="T251" s="5">
        <v>0.81616873545901159</v>
      </c>
      <c r="U251" s="5">
        <v>0.843484285136611</v>
      </c>
      <c r="V251" s="5">
        <v>1.4860563435621259</v>
      </c>
      <c r="W251" s="4">
        <v>1.2032446024585819</v>
      </c>
      <c r="X251" s="6">
        <v>97999.785307516271</v>
      </c>
      <c r="Y251" s="6">
        <v>16835.41157143805</v>
      </c>
      <c r="Z251" s="6">
        <v>5647.0517378276309</v>
      </c>
      <c r="AA251" s="6">
        <v>126442.0712189644</v>
      </c>
      <c r="AB251" s="6">
        <v>965.19458951139995</v>
      </c>
      <c r="AC251" s="3" t="s">
        <v>299</v>
      </c>
      <c r="AD251" s="3" t="s">
        <v>36</v>
      </c>
    </row>
    <row r="252" spans="1:30">
      <c r="A252" s="2">
        <v>46172</v>
      </c>
      <c r="B252" s="3" t="s">
        <v>30</v>
      </c>
      <c r="C252" s="3" t="s">
        <v>56</v>
      </c>
      <c r="D252" s="3" t="s">
        <v>45</v>
      </c>
      <c r="E252" s="3" t="s">
        <v>33</v>
      </c>
      <c r="F252" s="3" t="s">
        <v>34</v>
      </c>
      <c r="G252" s="4">
        <v>56.49055519775326</v>
      </c>
      <c r="H252" s="4">
        <v>100.37844088837321</v>
      </c>
      <c r="I252" s="4">
        <v>107.1855729545362</v>
      </c>
      <c r="J252" s="4">
        <v>7.4189020789825282</v>
      </c>
      <c r="K252" s="4">
        <v>7.3312292107244073</v>
      </c>
      <c r="L252" s="4">
        <v>5.260372095487253</v>
      </c>
      <c r="M252" s="4">
        <v>19.51010628766959</v>
      </c>
      <c r="N252" s="4">
        <v>143.0330611205012</v>
      </c>
      <c r="O252" s="4">
        <v>1923.017927499495</v>
      </c>
      <c r="P252" s="5">
        <v>6.3507913224948365E-2</v>
      </c>
      <c r="Q252" s="5">
        <v>0.93649208677505169</v>
      </c>
      <c r="R252" s="5">
        <v>1.8123473958685452E-2</v>
      </c>
      <c r="S252" s="5">
        <v>1.2243146820408141E-2</v>
      </c>
      <c r="T252" s="5">
        <v>0.80693543391283407</v>
      </c>
      <c r="U252" s="5">
        <v>0.82701863615828297</v>
      </c>
      <c r="V252" s="5">
        <v>1.7769066092019119</v>
      </c>
      <c r="W252" s="4">
        <v>0.70178488876643175</v>
      </c>
      <c r="X252" s="6">
        <v>80414.271761739248</v>
      </c>
      <c r="Y252" s="6">
        <v>21716.361599102958</v>
      </c>
      <c r="Z252" s="6">
        <v>4781.2646637554953</v>
      </c>
      <c r="AA252" s="6">
        <v>111920.4876101222</v>
      </c>
      <c r="AB252" s="6">
        <v>1114.9853157670029</v>
      </c>
      <c r="AC252" s="3" t="s">
        <v>300</v>
      </c>
      <c r="AD252" s="3" t="s">
        <v>49</v>
      </c>
    </row>
    <row r="253" spans="1:30">
      <c r="A253" s="2">
        <v>46173</v>
      </c>
      <c r="B253" s="3" t="s">
        <v>30</v>
      </c>
      <c r="C253" s="3" t="s">
        <v>31</v>
      </c>
      <c r="D253" s="3" t="s">
        <v>37</v>
      </c>
      <c r="E253" s="3" t="s">
        <v>38</v>
      </c>
      <c r="F253" s="3" t="s">
        <v>39</v>
      </c>
      <c r="G253" s="4">
        <v>90.357872328346573</v>
      </c>
      <c r="H253" s="4">
        <v>92.887688180120733</v>
      </c>
      <c r="I253" s="4">
        <v>98.329128519684659</v>
      </c>
      <c r="J253" s="4">
        <v>7.5948486949422316</v>
      </c>
      <c r="K253" s="4">
        <v>7.330069660114944</v>
      </c>
      <c r="L253" s="4">
        <v>15.88674208963724</v>
      </c>
      <c r="M253" s="4">
        <v>17.029621866708911</v>
      </c>
      <c r="N253" s="4">
        <v>124.828314568393</v>
      </c>
      <c r="O253" s="4">
        <v>1794.515643022889</v>
      </c>
      <c r="P253" s="5">
        <v>5.5339047762175478E-2</v>
      </c>
      <c r="Q253" s="5">
        <v>0.94466095223782443</v>
      </c>
      <c r="R253" s="5">
        <v>2.1362448948382479E-2</v>
      </c>
      <c r="S253" s="5">
        <v>1.322016921713407E-2</v>
      </c>
      <c r="T253" s="5">
        <v>0.64594402227349867</v>
      </c>
      <c r="U253" s="5">
        <v>0.63240643664797236</v>
      </c>
      <c r="V253" s="5">
        <v>1.0279977359646231</v>
      </c>
      <c r="W253" s="4">
        <v>0.74412354681940296</v>
      </c>
      <c r="X253" s="6">
        <v>76434.992176303989</v>
      </c>
      <c r="Y253" s="6">
        <v>20533.844607173949</v>
      </c>
      <c r="Z253" s="6">
        <v>4935.0148930501409</v>
      </c>
      <c r="AA253" s="6">
        <v>108903.4903595201</v>
      </c>
      <c r="AB253" s="6">
        <v>1172.421151749872</v>
      </c>
      <c r="AC253" s="3" t="s">
        <v>301</v>
      </c>
      <c r="AD253" s="3" t="s">
        <v>36</v>
      </c>
    </row>
    <row r="254" spans="1:30">
      <c r="A254" s="2">
        <v>46174</v>
      </c>
      <c r="B254" s="3" t="s">
        <v>30</v>
      </c>
      <c r="C254" s="3" t="s">
        <v>56</v>
      </c>
      <c r="D254" s="3" t="s">
        <v>45</v>
      </c>
      <c r="E254" s="3" t="s">
        <v>46</v>
      </c>
      <c r="F254" s="3" t="s">
        <v>47</v>
      </c>
      <c r="G254" s="4">
        <v>135.0776938141471</v>
      </c>
      <c r="H254" s="4">
        <v>122.6030138425229</v>
      </c>
      <c r="I254" s="4">
        <v>128.03568864927669</v>
      </c>
      <c r="J254" s="4">
        <v>7.798604561948256</v>
      </c>
      <c r="K254" s="4">
        <v>7.529241332892683</v>
      </c>
      <c r="L254" s="4">
        <v>16.1617937433344</v>
      </c>
      <c r="M254" s="4">
        <v>15.975066303427351</v>
      </c>
      <c r="N254" s="4">
        <v>120.2801295074663</v>
      </c>
      <c r="O254" s="4">
        <v>2219.849065102545</v>
      </c>
      <c r="P254" s="5">
        <v>4.243094143567569E-2</v>
      </c>
      <c r="Q254" s="5">
        <v>0.95756905856432428</v>
      </c>
      <c r="R254" s="5">
        <v>4.00746885184812E-2</v>
      </c>
      <c r="S254" s="5">
        <v>8.9166520770459744E-3</v>
      </c>
      <c r="T254" s="5">
        <v>0.79421095270966657</v>
      </c>
      <c r="U254" s="5">
        <v>0.68975979804226673</v>
      </c>
      <c r="V254" s="5">
        <v>0.90764811258335443</v>
      </c>
      <c r="W254" s="4">
        <v>1.0193122866143269</v>
      </c>
      <c r="X254" s="6">
        <v>110236.73493522609</v>
      </c>
      <c r="Y254" s="6">
        <v>22788.760420246061</v>
      </c>
      <c r="Z254" s="6">
        <v>6068.7857127002744</v>
      </c>
      <c r="AA254" s="6">
        <v>145061.74179931931</v>
      </c>
      <c r="AB254" s="6">
        <v>1183.182511203546</v>
      </c>
      <c r="AC254" s="3" t="s">
        <v>302</v>
      </c>
      <c r="AD254" s="3" t="s">
        <v>49</v>
      </c>
    </row>
    <row r="255" spans="1:30">
      <c r="A255" s="2">
        <v>46175</v>
      </c>
      <c r="B255" s="3" t="s">
        <v>30</v>
      </c>
      <c r="C255" s="3" t="s">
        <v>44</v>
      </c>
      <c r="D255" s="3" t="s">
        <v>37</v>
      </c>
      <c r="E255" s="3" t="s">
        <v>33</v>
      </c>
      <c r="F255" s="3" t="s">
        <v>34</v>
      </c>
      <c r="G255" s="4">
        <v>115.70885777151901</v>
      </c>
      <c r="H255" s="4">
        <v>95.951787027505631</v>
      </c>
      <c r="I255" s="4">
        <v>101.7198982923659</v>
      </c>
      <c r="J255" s="4">
        <v>8.4620978185859492</v>
      </c>
      <c r="K255" s="4">
        <v>8.2472160872026343</v>
      </c>
      <c r="L255" s="4">
        <v>12.89290388299893</v>
      </c>
      <c r="M255" s="4">
        <v>13.091597013283719</v>
      </c>
      <c r="N255" s="4">
        <v>107.96922949512739</v>
      </c>
      <c r="O255" s="4">
        <v>1790.32472420471</v>
      </c>
      <c r="P255" s="5">
        <v>5.6705830045970143E-2</v>
      </c>
      <c r="Q255" s="5">
        <v>0.9432941699540297</v>
      </c>
      <c r="R255" s="5">
        <v>1.9817656249981969E-2</v>
      </c>
      <c r="S255" s="5">
        <v>1.5133914751749199E-2</v>
      </c>
      <c r="T255" s="5">
        <v>0.80638007249620181</v>
      </c>
      <c r="U255" s="5">
        <v>0.64184884313787638</v>
      </c>
      <c r="V255" s="5">
        <v>0.82925187298083869</v>
      </c>
      <c r="W255" s="4">
        <v>0.88869567261138849</v>
      </c>
      <c r="X255" s="6">
        <v>77157.76785550901</v>
      </c>
      <c r="Y255" s="6">
        <v>19436.277411404619</v>
      </c>
      <c r="Z255" s="6">
        <v>3841.892695818583</v>
      </c>
      <c r="AA255" s="6">
        <v>104831.47113350801</v>
      </c>
      <c r="AB255" s="6">
        <v>1092.5431863343711</v>
      </c>
      <c r="AC255" s="3" t="s">
        <v>303</v>
      </c>
      <c r="AD255" s="3" t="s">
        <v>43</v>
      </c>
    </row>
    <row r="256" spans="1:30">
      <c r="A256" s="2">
        <v>46176</v>
      </c>
      <c r="B256" s="3" t="s">
        <v>30</v>
      </c>
      <c r="C256" s="3" t="s">
        <v>63</v>
      </c>
      <c r="D256" s="3" t="s">
        <v>45</v>
      </c>
      <c r="E256" s="3" t="s">
        <v>46</v>
      </c>
      <c r="F256" s="3" t="s">
        <v>47</v>
      </c>
      <c r="G256" s="4">
        <v>142.8605339689351</v>
      </c>
      <c r="H256" s="4">
        <v>83.574324562272466</v>
      </c>
      <c r="I256" s="4">
        <v>86.954773286476467</v>
      </c>
      <c r="J256" s="4">
        <v>7.814841295730611</v>
      </c>
      <c r="K256" s="4">
        <v>7.6106447796759973</v>
      </c>
      <c r="L256" s="4">
        <v>12.2517909632768</v>
      </c>
      <c r="M256" s="4">
        <v>17.591564707975969</v>
      </c>
      <c r="N256" s="4">
        <v>133.8831501110898</v>
      </c>
      <c r="O256" s="4">
        <v>1500.835648936777</v>
      </c>
      <c r="P256" s="5">
        <v>3.8875942014901972E-2</v>
      </c>
      <c r="Q256" s="5">
        <v>0.96112405798509803</v>
      </c>
      <c r="R256" s="5">
        <v>8.8259080908144327E-3</v>
      </c>
      <c r="S256" s="5">
        <v>1.3254887999581249E-2</v>
      </c>
      <c r="T256" s="5">
        <v>0.79739468722539997</v>
      </c>
      <c r="U256" s="5">
        <v>0.44827055944600308</v>
      </c>
      <c r="V256" s="5">
        <v>0.58500638518154813</v>
      </c>
      <c r="W256" s="4">
        <v>0.62423332953345134</v>
      </c>
      <c r="X256" s="6">
        <v>57414.82167916646</v>
      </c>
      <c r="Y256" s="6">
        <v>23777.353179721249</v>
      </c>
      <c r="Z256" s="6">
        <v>3049.066848750273</v>
      </c>
      <c r="AA256" s="6">
        <v>90086.771087347559</v>
      </c>
      <c r="AB256" s="6">
        <v>1077.9240102649301</v>
      </c>
      <c r="AC256" s="3" t="s">
        <v>304</v>
      </c>
      <c r="AD256" s="3" t="s">
        <v>36</v>
      </c>
    </row>
    <row r="257" spans="1:30">
      <c r="A257" s="2">
        <v>46177</v>
      </c>
      <c r="B257" s="3" t="s">
        <v>30</v>
      </c>
      <c r="C257" s="3" t="s">
        <v>56</v>
      </c>
      <c r="D257" s="3" t="s">
        <v>32</v>
      </c>
      <c r="E257" s="3" t="s">
        <v>38</v>
      </c>
      <c r="F257" s="3" t="s">
        <v>39</v>
      </c>
      <c r="G257" s="4">
        <v>67.330791506032924</v>
      </c>
      <c r="H257" s="4">
        <v>87.645498075648632</v>
      </c>
      <c r="I257" s="4">
        <v>94.030346112168857</v>
      </c>
      <c r="J257" s="4">
        <v>7.5196281035795129</v>
      </c>
      <c r="K257" s="4">
        <v>7.0971189511775412</v>
      </c>
      <c r="L257" s="4">
        <v>25.350549144118322</v>
      </c>
      <c r="M257" s="4">
        <v>20.415566602824271</v>
      </c>
      <c r="N257" s="4">
        <v>144.8917046359314</v>
      </c>
      <c r="O257" s="4">
        <v>1863.9018306758351</v>
      </c>
      <c r="P257" s="5">
        <v>6.790199441469387E-2</v>
      </c>
      <c r="Q257" s="5">
        <v>0.93209800558530609</v>
      </c>
      <c r="R257" s="5">
        <v>3.5492913744079292E-2</v>
      </c>
      <c r="S257" s="5">
        <v>8.3536573350855535E-3</v>
      </c>
      <c r="T257" s="5">
        <v>0.71870858740854349</v>
      </c>
      <c r="U257" s="5">
        <v>0.70629262185863417</v>
      </c>
      <c r="V257" s="5">
        <v>1.3017149526275129</v>
      </c>
      <c r="W257" s="4">
        <v>0.60490349185879877</v>
      </c>
      <c r="X257" s="6">
        <v>74044.859605054429</v>
      </c>
      <c r="Y257" s="6">
        <v>22678.873758905222</v>
      </c>
      <c r="Z257" s="6">
        <v>4150.0916162832737</v>
      </c>
      <c r="AA257" s="6">
        <v>104916.8869291733</v>
      </c>
      <c r="AB257" s="6">
        <v>1197.0596235144601</v>
      </c>
      <c r="AC257" s="3" t="s">
        <v>305</v>
      </c>
      <c r="AD257" s="3" t="s">
        <v>43</v>
      </c>
    </row>
    <row r="258" spans="1:30">
      <c r="A258" s="2">
        <v>46178</v>
      </c>
      <c r="B258" s="3" t="s">
        <v>30</v>
      </c>
      <c r="C258" s="3" t="s">
        <v>31</v>
      </c>
      <c r="D258" s="3" t="s">
        <v>37</v>
      </c>
      <c r="E258" s="3" t="s">
        <v>46</v>
      </c>
      <c r="F258" s="3" t="s">
        <v>47</v>
      </c>
      <c r="G258" s="4">
        <v>133.6513565262874</v>
      </c>
      <c r="H258" s="4">
        <v>77.941784403446093</v>
      </c>
      <c r="I258" s="4">
        <v>79.366277514450431</v>
      </c>
      <c r="J258" s="4">
        <v>7.3731183128425233</v>
      </c>
      <c r="K258" s="4">
        <v>6.9641019906156378</v>
      </c>
      <c r="L258" s="4">
        <v>24.540979333613102</v>
      </c>
      <c r="M258" s="4">
        <v>19.309419274291891</v>
      </c>
      <c r="N258" s="4">
        <v>134.47276520572811</v>
      </c>
      <c r="O258" s="4">
        <v>1769.050697725339</v>
      </c>
      <c r="P258" s="5">
        <v>1.7948342238238161E-2</v>
      </c>
      <c r="Q258" s="5">
        <v>0.98205165776176184</v>
      </c>
      <c r="R258" s="5">
        <v>1.9637574099612549E-2</v>
      </c>
      <c r="S258" s="5">
        <v>1.1364429167819641E-2</v>
      </c>
      <c r="T258" s="5">
        <v>0.72349094344402365</v>
      </c>
      <c r="U258" s="5">
        <v>0.39398548714443249</v>
      </c>
      <c r="V258" s="5">
        <v>0.583172415373996</v>
      </c>
      <c r="W258" s="4">
        <v>0.57961018563278588</v>
      </c>
      <c r="X258" s="6">
        <v>54135.802879092473</v>
      </c>
      <c r="Y258" s="6">
        <v>25252.2035824595</v>
      </c>
      <c r="Z258" s="6">
        <v>4681.0741162554714</v>
      </c>
      <c r="AA258" s="6">
        <v>90393.392126434643</v>
      </c>
      <c r="AB258" s="6">
        <v>1159.755230372145</v>
      </c>
      <c r="AC258" s="3" t="s">
        <v>306</v>
      </c>
      <c r="AD258" s="3" t="s">
        <v>49</v>
      </c>
    </row>
    <row r="259" spans="1:30">
      <c r="A259" s="2">
        <v>46179</v>
      </c>
      <c r="B259" s="3" t="s">
        <v>30</v>
      </c>
      <c r="C259" s="3" t="s">
        <v>44</v>
      </c>
      <c r="D259" s="3" t="s">
        <v>32</v>
      </c>
      <c r="E259" s="3" t="s">
        <v>38</v>
      </c>
      <c r="F259" s="3" t="s">
        <v>39</v>
      </c>
      <c r="G259" s="4">
        <v>56.985646640496853</v>
      </c>
      <c r="H259" s="4">
        <v>127.8956996843216</v>
      </c>
      <c r="I259" s="4">
        <v>131.6571674913321</v>
      </c>
      <c r="J259" s="4">
        <v>7.9811568924496994</v>
      </c>
      <c r="K259" s="4">
        <v>7.7786701902264754</v>
      </c>
      <c r="L259" s="4">
        <v>12.149202133393439</v>
      </c>
      <c r="M259" s="4">
        <v>17.399588956710861</v>
      </c>
      <c r="N259" s="4">
        <v>135.34566393976061</v>
      </c>
      <c r="O259" s="4">
        <v>2111.6467813320919</v>
      </c>
      <c r="P259" s="5">
        <v>2.8570171139814221E-2</v>
      </c>
      <c r="Q259" s="5">
        <v>0.97142982886018581</v>
      </c>
      <c r="R259" s="5">
        <v>2.586119029981853E-2</v>
      </c>
      <c r="S259" s="5">
        <v>1.442139625935537E-2</v>
      </c>
      <c r="T259" s="5">
        <v>0.8662290513910389</v>
      </c>
      <c r="U259" s="5">
        <v>0.87368085796911099</v>
      </c>
      <c r="V259" s="5">
        <v>2.2443493620625601</v>
      </c>
      <c r="W259" s="4">
        <v>0.94495601825297626</v>
      </c>
      <c r="X259" s="6">
        <v>88558.043878378186</v>
      </c>
      <c r="Y259" s="6">
        <v>23485.424249553089</v>
      </c>
      <c r="Z259" s="6">
        <v>4660.0168154205448</v>
      </c>
      <c r="AA259" s="6">
        <v>123164.4827226434</v>
      </c>
      <c r="AB259" s="6">
        <v>963.007224063389</v>
      </c>
      <c r="AC259" s="3" t="s">
        <v>307</v>
      </c>
      <c r="AD259" s="3" t="s">
        <v>43</v>
      </c>
    </row>
    <row r="260" spans="1:30">
      <c r="A260" s="2">
        <v>46180</v>
      </c>
      <c r="B260" s="3" t="s">
        <v>30</v>
      </c>
      <c r="C260" s="3" t="s">
        <v>56</v>
      </c>
      <c r="D260" s="3" t="s">
        <v>37</v>
      </c>
      <c r="E260" s="3" t="s">
        <v>33</v>
      </c>
      <c r="F260" s="3" t="s">
        <v>34</v>
      </c>
      <c r="G260" s="4">
        <v>106.2683532709071</v>
      </c>
      <c r="H260" s="4">
        <v>88.051491942614646</v>
      </c>
      <c r="I260" s="4">
        <v>95.121430652108018</v>
      </c>
      <c r="J260" s="4">
        <v>8.1509985006689085</v>
      </c>
      <c r="K260" s="4">
        <v>7.8844667486901958</v>
      </c>
      <c r="L260" s="4">
        <v>15.99190511872278</v>
      </c>
      <c r="M260" s="4">
        <v>14.77919101230712</v>
      </c>
      <c r="N260" s="4">
        <v>116.5260401090765</v>
      </c>
      <c r="O260" s="4">
        <v>1750.232993095007</v>
      </c>
      <c r="P260" s="5">
        <v>7.4325403445103605E-2</v>
      </c>
      <c r="Q260" s="5">
        <v>0.92567459655489637</v>
      </c>
      <c r="R260" s="5">
        <v>1.33603594437383E-2</v>
      </c>
      <c r="S260" s="5">
        <v>8.3285635435649766E-3</v>
      </c>
      <c r="T260" s="5">
        <v>0.64250546348704651</v>
      </c>
      <c r="U260" s="5">
        <v>0.51066831237855814</v>
      </c>
      <c r="V260" s="5">
        <v>0.82857679857094679</v>
      </c>
      <c r="W260" s="4">
        <v>0.7556378974192578</v>
      </c>
      <c r="X260" s="6">
        <v>73086.331285471781</v>
      </c>
      <c r="Y260" s="6">
        <v>22685.631176665549</v>
      </c>
      <c r="Z260" s="6">
        <v>4533.4879661415653</v>
      </c>
      <c r="AA260" s="6">
        <v>105492.6520040859</v>
      </c>
      <c r="AB260" s="6">
        <v>1198.079097544856</v>
      </c>
      <c r="AC260" s="3" t="s">
        <v>308</v>
      </c>
      <c r="AD260" s="3" t="s">
        <v>41</v>
      </c>
    </row>
    <row r="261" spans="1:30">
      <c r="A261" s="2">
        <v>46181</v>
      </c>
      <c r="B261" s="3" t="s">
        <v>30</v>
      </c>
      <c r="C261" s="3" t="s">
        <v>56</v>
      </c>
      <c r="D261" s="3" t="s">
        <v>37</v>
      </c>
      <c r="E261" s="3" t="s">
        <v>46</v>
      </c>
      <c r="F261" s="3" t="s">
        <v>47</v>
      </c>
      <c r="G261" s="4">
        <v>65.42227276164823</v>
      </c>
      <c r="H261" s="4">
        <v>136.03667051346309</v>
      </c>
      <c r="I261" s="4">
        <v>147.7236166557214</v>
      </c>
      <c r="J261" s="4">
        <v>8.4881157179097304</v>
      </c>
      <c r="K261" s="4">
        <v>8.0390018146739539</v>
      </c>
      <c r="L261" s="4">
        <v>26.946834194146629</v>
      </c>
      <c r="M261" s="4">
        <v>12.84266882140864</v>
      </c>
      <c r="N261" s="4">
        <v>103.2422379605607</v>
      </c>
      <c r="O261" s="4">
        <v>2252.3176171643659</v>
      </c>
      <c r="P261" s="5">
        <v>7.9113593390388218E-2</v>
      </c>
      <c r="Q261" s="5">
        <v>0.92088640660961174</v>
      </c>
      <c r="R261" s="5">
        <v>1.855947062081478E-2</v>
      </c>
      <c r="S261" s="5">
        <v>1.1339028918524679E-2</v>
      </c>
      <c r="T261" s="5">
        <v>0.82966997599976888</v>
      </c>
      <c r="U261" s="5">
        <v>0.81570457543965869</v>
      </c>
      <c r="V261" s="5">
        <v>2.079363262249891</v>
      </c>
      <c r="W261" s="4">
        <v>1.3176455024679929</v>
      </c>
      <c r="X261" s="6">
        <v>112265.0953986111</v>
      </c>
      <c r="Y261" s="6">
        <v>18106.979851059201</v>
      </c>
      <c r="Z261" s="6">
        <v>5572.2334030595975</v>
      </c>
      <c r="AA261" s="6">
        <v>141946.98973541419</v>
      </c>
      <c r="AB261" s="6">
        <v>1043.4465148231211</v>
      </c>
      <c r="AC261" s="3" t="s">
        <v>309</v>
      </c>
      <c r="AD261" s="3" t="s">
        <v>41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/>
  </sheetViews>
  <sheetFormatPr defaultRowHeight="15"/>
  <cols>
    <col min="1" max="1" width="30" customWidth="1"/>
    <col min="2" max="2" width="70" customWidth="1"/>
  </cols>
  <sheetData>
    <row r="1" spans="1:2">
      <c r="A1" s="7" t="s">
        <v>310</v>
      </c>
      <c r="B1" s="7" t="s">
        <v>311</v>
      </c>
    </row>
    <row r="2" spans="1:2">
      <c r="A2" t="s">
        <v>0</v>
      </c>
      <c r="B2" t="s">
        <v>312</v>
      </c>
    </row>
    <row r="3" spans="1:2">
      <c r="A3" t="s">
        <v>1</v>
      </c>
      <c r="B3" t="s">
        <v>312</v>
      </c>
    </row>
    <row r="4" spans="1:2">
      <c r="A4" t="s">
        <v>2</v>
      </c>
      <c r="B4" t="s">
        <v>312</v>
      </c>
    </row>
    <row r="5" spans="1:2">
      <c r="A5" t="s">
        <v>3</v>
      </c>
      <c r="B5" t="s">
        <v>312</v>
      </c>
    </row>
    <row r="6" spans="1:2">
      <c r="A6" t="s">
        <v>4</v>
      </c>
      <c r="B6" t="s">
        <v>312</v>
      </c>
    </row>
    <row r="7" spans="1:2">
      <c r="A7" t="s">
        <v>5</v>
      </c>
      <c r="B7" t="s">
        <v>312</v>
      </c>
    </row>
    <row r="8" spans="1:2">
      <c r="A8" t="s">
        <v>6</v>
      </c>
      <c r="B8" t="s">
        <v>312</v>
      </c>
    </row>
    <row r="9" spans="1:2">
      <c r="A9" t="s">
        <v>7</v>
      </c>
      <c r="B9" t="s">
        <v>312</v>
      </c>
    </row>
    <row r="10" spans="1:2">
      <c r="A10" t="s">
        <v>8</v>
      </c>
      <c r="B10" t="s">
        <v>312</v>
      </c>
    </row>
    <row r="11" spans="1:2">
      <c r="A11" t="s">
        <v>9</v>
      </c>
      <c r="B11" t="s">
        <v>312</v>
      </c>
    </row>
    <row r="12" spans="1:2">
      <c r="A12" t="s">
        <v>10</v>
      </c>
      <c r="B12" t="s">
        <v>312</v>
      </c>
    </row>
    <row r="13" spans="1:2">
      <c r="A13" t="s">
        <v>11</v>
      </c>
      <c r="B13" t="s">
        <v>312</v>
      </c>
    </row>
    <row r="14" spans="1:2">
      <c r="A14" t="s">
        <v>12</v>
      </c>
      <c r="B14" t="s">
        <v>312</v>
      </c>
    </row>
    <row r="15" spans="1:2">
      <c r="A15" t="s">
        <v>13</v>
      </c>
      <c r="B15" t="s">
        <v>312</v>
      </c>
    </row>
    <row r="16" spans="1:2">
      <c r="A16" t="s">
        <v>14</v>
      </c>
      <c r="B16" t="s">
        <v>312</v>
      </c>
    </row>
    <row r="17" spans="1:2">
      <c r="A17" t="s">
        <v>15</v>
      </c>
      <c r="B17" t="s">
        <v>312</v>
      </c>
    </row>
    <row r="18" spans="1:2">
      <c r="A18" t="s">
        <v>16</v>
      </c>
      <c r="B18" t="s">
        <v>312</v>
      </c>
    </row>
    <row r="19" spans="1:2">
      <c r="A19" t="s">
        <v>17</v>
      </c>
      <c r="B19" t="s">
        <v>312</v>
      </c>
    </row>
    <row r="20" spans="1:2">
      <c r="A20" t="s">
        <v>18</v>
      </c>
      <c r="B20" t="s">
        <v>312</v>
      </c>
    </row>
    <row r="21" spans="1:2">
      <c r="A21" t="s">
        <v>19</v>
      </c>
      <c r="B21" t="s">
        <v>312</v>
      </c>
    </row>
    <row r="22" spans="1:2">
      <c r="A22" t="s">
        <v>20</v>
      </c>
      <c r="B22" t="s">
        <v>312</v>
      </c>
    </row>
    <row r="23" spans="1:2">
      <c r="A23" t="s">
        <v>21</v>
      </c>
      <c r="B23" t="s">
        <v>312</v>
      </c>
    </row>
    <row r="24" spans="1:2">
      <c r="A24" t="s">
        <v>22</v>
      </c>
      <c r="B24" t="s">
        <v>312</v>
      </c>
    </row>
    <row r="25" spans="1:2">
      <c r="A25" t="s">
        <v>23</v>
      </c>
      <c r="B25" t="s">
        <v>312</v>
      </c>
    </row>
    <row r="26" spans="1:2">
      <c r="A26" t="s">
        <v>24</v>
      </c>
      <c r="B26" t="s">
        <v>312</v>
      </c>
    </row>
    <row r="27" spans="1:2">
      <c r="A27" t="s">
        <v>25</v>
      </c>
      <c r="B27" t="s">
        <v>312</v>
      </c>
    </row>
    <row r="28" spans="1:2">
      <c r="A28" t="s">
        <v>26</v>
      </c>
      <c r="B28" t="s">
        <v>312</v>
      </c>
    </row>
    <row r="29" spans="1:2">
      <c r="A29" t="s">
        <v>27</v>
      </c>
      <c r="B29" t="s">
        <v>312</v>
      </c>
    </row>
    <row r="30" spans="1:2">
      <c r="A30" t="s">
        <v>28</v>
      </c>
      <c r="B30" t="s">
        <v>312</v>
      </c>
    </row>
    <row r="31" spans="1:2">
      <c r="A31" t="s">
        <v>29</v>
      </c>
      <c r="B31" t="s">
        <v>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5"/>
  <sheetData>
    <row r="1" spans="1:4">
      <c r="A1" s="13" t="s">
        <v>313</v>
      </c>
      <c r="B1" s="14"/>
      <c r="C1" s="14"/>
      <c r="D1" s="14"/>
    </row>
    <row r="3" spans="1:4">
      <c r="A3" t="s">
        <v>314</v>
      </c>
      <c r="B3" s="8">
        <f>SUM(Base_Datos!H2:H261)</f>
        <v>30699.811275203199</v>
      </c>
    </row>
    <row r="4" spans="1:4">
      <c r="A4" t="s">
        <v>315</v>
      </c>
      <c r="B4" s="9">
        <f>AVERAGE(Base_Datos!Q2:Q261)</f>
        <v>0.95208210737748922</v>
      </c>
    </row>
    <row r="5" spans="1:4">
      <c r="A5" t="s">
        <v>316</v>
      </c>
      <c r="B5" s="9">
        <f>AVERAGE(Base_Datos!U2:U261)</f>
        <v>0.77217896107561257</v>
      </c>
    </row>
    <row r="6" spans="1:4">
      <c r="A6" t="s">
        <v>317</v>
      </c>
      <c r="B6" s="10">
        <f>SUM(Base_Datos!H2:H261)/SUM(Base_Datos!N2:N261)</f>
        <v>0.96566289174954567</v>
      </c>
    </row>
    <row r="7" spans="1:4">
      <c r="A7" t="s">
        <v>318</v>
      </c>
      <c r="B7" s="11">
        <f>SUM(Base_Datos!AA2:AA261)/SUM(Base_Datos!H2:H261)</f>
        <v>1037.0214812463437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/>
  </sheetViews>
  <sheetFormatPr defaultRowHeight="15"/>
  <sheetData>
    <row r="1" spans="1:9">
      <c r="A1" s="7" t="s">
        <v>319</v>
      </c>
      <c r="B1" s="7" t="s">
        <v>7</v>
      </c>
      <c r="C1" s="7" t="s">
        <v>11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20</v>
      </c>
      <c r="I1" s="7" t="s">
        <v>27</v>
      </c>
    </row>
    <row r="2" spans="1:9">
      <c r="A2" t="s">
        <v>7</v>
      </c>
      <c r="B2">
        <v>1</v>
      </c>
      <c r="C2">
        <v>-0.15173587080352019</v>
      </c>
      <c r="D2">
        <v>-5.5999164789835004E-3</v>
      </c>
      <c r="E2">
        <v>0.92966042712492347</v>
      </c>
      <c r="F2">
        <v>-4.4007542787926388E-2</v>
      </c>
      <c r="G2">
        <v>4.4007542787927248E-2</v>
      </c>
      <c r="H2">
        <v>0.72664053419423147</v>
      </c>
      <c r="I2">
        <v>-0.51206755469471743</v>
      </c>
    </row>
    <row r="3" spans="1:9">
      <c r="A3" t="s">
        <v>11</v>
      </c>
      <c r="B3">
        <v>-0.15173587080352019</v>
      </c>
      <c r="C3">
        <v>1</v>
      </c>
      <c r="D3">
        <v>-0.12901375373828841</v>
      </c>
      <c r="E3">
        <v>-1.2583724177313989E-2</v>
      </c>
      <c r="F3">
        <v>3.2590027594803818E-2</v>
      </c>
      <c r="G3">
        <v>-3.2590027594804373E-2</v>
      </c>
      <c r="H3">
        <v>-0.19161530612208169</v>
      </c>
      <c r="I3">
        <v>4.6391410275107119E-2</v>
      </c>
    </row>
    <row r="4" spans="1:9">
      <c r="A4" t="s">
        <v>13</v>
      </c>
      <c r="B4">
        <v>-5.5999164789835004E-3</v>
      </c>
      <c r="C4">
        <v>-0.12901375373828841</v>
      </c>
      <c r="D4">
        <v>1</v>
      </c>
      <c r="E4">
        <v>-2.995299587006494E-2</v>
      </c>
      <c r="F4">
        <v>-2.3204460854675039E-2</v>
      </c>
      <c r="G4">
        <v>2.3204460854674879E-2</v>
      </c>
      <c r="H4">
        <v>-2.8115231621313231E-2</v>
      </c>
      <c r="I4">
        <v>0.37324243134850388</v>
      </c>
    </row>
    <row r="5" spans="1:9">
      <c r="A5" t="s">
        <v>14</v>
      </c>
      <c r="B5">
        <v>0.92966042712492347</v>
      </c>
      <c r="C5">
        <v>-1.2583724177313989E-2</v>
      </c>
      <c r="D5">
        <v>-2.995299587006494E-2</v>
      </c>
      <c r="E5">
        <v>1</v>
      </c>
      <c r="F5">
        <v>-4.005365934960485E-2</v>
      </c>
      <c r="G5">
        <v>4.0053659349605683E-2</v>
      </c>
      <c r="H5">
        <v>0.67945970709400139</v>
      </c>
      <c r="I5">
        <v>-0.49247902178911429</v>
      </c>
    </row>
    <row r="6" spans="1:9">
      <c r="A6" t="s">
        <v>15</v>
      </c>
      <c r="B6">
        <v>-4.4007542787926388E-2</v>
      </c>
      <c r="C6">
        <v>3.2590027594803818E-2</v>
      </c>
      <c r="D6">
        <v>-2.3204460854675039E-2</v>
      </c>
      <c r="E6">
        <v>-4.005365934960485E-2</v>
      </c>
      <c r="F6">
        <v>1</v>
      </c>
      <c r="G6">
        <v>-0.99999999999999978</v>
      </c>
      <c r="H6">
        <v>-3.6558970126974372E-2</v>
      </c>
      <c r="I6">
        <v>0.2053829154320998</v>
      </c>
    </row>
    <row r="7" spans="1:9">
      <c r="A7" t="s">
        <v>16</v>
      </c>
      <c r="B7">
        <v>4.4007542787927248E-2</v>
      </c>
      <c r="C7">
        <v>-3.2590027594804373E-2</v>
      </c>
      <c r="D7">
        <v>2.3204460854674879E-2</v>
      </c>
      <c r="E7">
        <v>4.0053659349605683E-2</v>
      </c>
      <c r="F7">
        <v>-0.99999999999999978</v>
      </c>
      <c r="G7">
        <v>1</v>
      </c>
      <c r="H7">
        <v>3.6558970126974878E-2</v>
      </c>
      <c r="I7">
        <v>-0.20538291543209999</v>
      </c>
    </row>
    <row r="8" spans="1:9">
      <c r="A8" t="s">
        <v>20</v>
      </c>
      <c r="B8">
        <v>0.72664053419423147</v>
      </c>
      <c r="C8">
        <v>-0.19161530612208169</v>
      </c>
      <c r="D8">
        <v>-2.8115231621313231E-2</v>
      </c>
      <c r="E8">
        <v>0.67945970709400139</v>
      </c>
      <c r="F8">
        <v>-3.6558970126974372E-2</v>
      </c>
      <c r="G8">
        <v>3.6558970126974878E-2</v>
      </c>
      <c r="H8">
        <v>1</v>
      </c>
      <c r="I8">
        <v>-0.41319993440247438</v>
      </c>
    </row>
    <row r="9" spans="1:9">
      <c r="A9" t="s">
        <v>27</v>
      </c>
      <c r="B9">
        <v>-0.51206755469471743</v>
      </c>
      <c r="C9">
        <v>4.6391410275107119E-2</v>
      </c>
      <c r="D9">
        <v>0.37324243134850388</v>
      </c>
      <c r="E9">
        <v>-0.49247902178911429</v>
      </c>
      <c r="F9">
        <v>0.2053829154320998</v>
      </c>
      <c r="G9">
        <v>-0.20538291543209999</v>
      </c>
      <c r="H9">
        <v>-0.41319993440247438</v>
      </c>
      <c r="I9">
        <v>1</v>
      </c>
    </row>
  </sheetData>
  <conditionalFormatting sqref="B2:I9">
    <cfRule type="colorScale" priority="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cols>
    <col min="1" max="1" width="110" customWidth="1"/>
  </cols>
  <sheetData>
    <row r="1" spans="1:1">
      <c r="A1" s="12" t="s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Avila, Alan</dc:creator>
  <cp:keywords/>
  <dc:description/>
  <cp:lastModifiedBy/>
  <cp:revision/>
  <dcterms:created xsi:type="dcterms:W3CDTF">2026-09-18T21:49:12Z</dcterms:created>
  <dcterms:modified xsi:type="dcterms:W3CDTF">2026-09-18T21:50:16Z</dcterms:modified>
  <cp:category/>
  <cp:contentStatus/>
</cp:coreProperties>
</file>