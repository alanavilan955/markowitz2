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xr:revisionPtr revIDLastSave="0" documentId="8_{E1BBC7DE-78DD-4A76-BA8D-0E4581748DCF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Base_Datos" sheetId="1" r:id="rId1"/>
    <sheet name="Diccionario" sheetId="2" r:id="rId2"/>
    <sheet name="Resumen" sheetId="3" r:id="rId3"/>
    <sheet name="Correlacion" sheetId="4" r:id="rId4"/>
    <sheet name="Instrucciones" sheetId="5" r:id="rId5"/>
  </sheets>
  <calcPr calcId="191028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3" l="1"/>
  <c r="B7" i="3"/>
  <c r="B6" i="3"/>
  <c r="B5" i="3"/>
  <c r="B4" i="3"/>
  <c r="B3" i="3"/>
</calcChain>
</file>

<file path=xl/sharedStrings.xml><?xml version="1.0" encoding="utf-8"?>
<sst xmlns="http://schemas.openxmlformats.org/spreadsheetml/2006/main" count="2014" uniqueCount="376">
  <si>
    <t>Fecha</t>
  </si>
  <si>
    <t>Planta</t>
  </si>
  <si>
    <t>Linea</t>
  </si>
  <si>
    <t>Turno</t>
  </si>
  <si>
    <t>SKU</t>
  </si>
  <si>
    <t>Categoria</t>
  </si>
  <si>
    <t>Volumen_Programado_t</t>
  </si>
  <si>
    <t>Volumen_Producido_t</t>
  </si>
  <si>
    <t>Materia_Prima_t</t>
  </si>
  <si>
    <t>Horas_Disponibles</t>
  </si>
  <si>
    <t>Horas_Productivas</t>
  </si>
  <si>
    <t>Paros_min</t>
  </si>
  <si>
    <t>Personal_FTE</t>
  </si>
  <si>
    <t>Horas_Mano_Obra</t>
  </si>
  <si>
    <t>Energia_kWh</t>
  </si>
  <si>
    <t>Merma_pct</t>
  </si>
  <si>
    <t>Yield_pct</t>
  </si>
  <si>
    <t>Reproceso_pct</t>
  </si>
  <si>
    <t>Rechazo_Calidad_pct</t>
  </si>
  <si>
    <t>Utilizacion_pct</t>
  </si>
  <si>
    <t>OEE_pct</t>
  </si>
  <si>
    <t>Cumplimiento_Plan_pct</t>
  </si>
  <si>
    <t>Eficiencia_Laboral_t_hh</t>
  </si>
  <si>
    <t>Costo_MP_MXN</t>
  </si>
  <si>
    <t>Costo_MO_MXN</t>
  </si>
  <si>
    <t>Costo_Energia_MXN</t>
  </si>
  <si>
    <t>Costo_Total_MXN</t>
  </si>
  <si>
    <t>Costo_por_t_MXN</t>
  </si>
  <si>
    <t>Lote</t>
  </si>
  <si>
    <t>Observacion</t>
  </si>
  <si>
    <t>Planta Alimentos MX</t>
  </si>
  <si>
    <t>L3-Comidas</t>
  </si>
  <si>
    <t>1</t>
  </si>
  <si>
    <t>EMP-004</t>
  </si>
  <si>
    <t>Empaque</t>
  </si>
  <si>
    <t>L250922-001</t>
  </si>
  <si>
    <t>Operación normal</t>
  </si>
  <si>
    <t>L1-Salsas</t>
  </si>
  <si>
    <t>3</t>
  </si>
  <si>
    <t>SAL-001</t>
  </si>
  <si>
    <t>Salsas</t>
  </si>
  <si>
    <t>L250923-002</t>
  </si>
  <si>
    <t>L2-Conservas</t>
  </si>
  <si>
    <t>SAL-005</t>
  </si>
  <si>
    <t>L250924-003</t>
  </si>
  <si>
    <t>2</t>
  </si>
  <si>
    <t>CON-006</t>
  </si>
  <si>
    <t>Conservas</t>
  </si>
  <si>
    <t>L250925-004</t>
  </si>
  <si>
    <t>Mantenimiento menor</t>
  </si>
  <si>
    <t>L250926-005</t>
  </si>
  <si>
    <t>L4-Empaque</t>
  </si>
  <si>
    <t>CON-002</t>
  </si>
  <si>
    <t>L250927-006</t>
  </si>
  <si>
    <t>L250928-007</t>
  </si>
  <si>
    <t>L250929-008</t>
  </si>
  <si>
    <t>Ajuste de calidad</t>
  </si>
  <si>
    <t>L250930-009</t>
  </si>
  <si>
    <t>L251001-010</t>
  </si>
  <si>
    <t>Cambio de formato</t>
  </si>
  <si>
    <t>L251002-011</t>
  </si>
  <si>
    <t>L251003-012</t>
  </si>
  <si>
    <t>COM-003</t>
  </si>
  <si>
    <t>Comidas preparadas</t>
  </si>
  <si>
    <t>L251004-013</t>
  </si>
  <si>
    <t>L251005-014</t>
  </si>
  <si>
    <t>L251006-015</t>
  </si>
  <si>
    <t>L251007-016</t>
  </si>
  <si>
    <t>L251008-017</t>
  </si>
  <si>
    <t>L251009-018</t>
  </si>
  <si>
    <t>L251010-019</t>
  </si>
  <si>
    <t>L251011-020</t>
  </si>
  <si>
    <t>L251012-021</t>
  </si>
  <si>
    <t>L251013-022</t>
  </si>
  <si>
    <t>L251014-023</t>
  </si>
  <si>
    <t>Falta de material</t>
  </si>
  <si>
    <t>L251015-024</t>
  </si>
  <si>
    <t>L251016-025</t>
  </si>
  <si>
    <t>L251017-026</t>
  </si>
  <si>
    <t>L251018-027</t>
  </si>
  <si>
    <t>L251019-028</t>
  </si>
  <si>
    <t>L251020-029</t>
  </si>
  <si>
    <t>L251021-030</t>
  </si>
  <si>
    <t>L251022-031</t>
  </si>
  <si>
    <t>L251023-032</t>
  </si>
  <si>
    <t>L251024-033</t>
  </si>
  <si>
    <t>L251025-034</t>
  </si>
  <si>
    <t>L251026-035</t>
  </si>
  <si>
    <t>L251027-036</t>
  </si>
  <si>
    <t>L251028-037</t>
  </si>
  <si>
    <t>L251029-038</t>
  </si>
  <si>
    <t>L251030-039</t>
  </si>
  <si>
    <t>L251031-040</t>
  </si>
  <si>
    <t>L251101-041</t>
  </si>
  <si>
    <t>L251102-042</t>
  </si>
  <si>
    <t>L251103-043</t>
  </si>
  <si>
    <t>L251104-044</t>
  </si>
  <si>
    <t>L251105-045</t>
  </si>
  <si>
    <t>L251106-046</t>
  </si>
  <si>
    <t>L251107-047</t>
  </si>
  <si>
    <t>L251108-048</t>
  </si>
  <si>
    <t>L251109-049</t>
  </si>
  <si>
    <t>L251110-050</t>
  </si>
  <si>
    <t>L251111-051</t>
  </si>
  <si>
    <t>L251112-052</t>
  </si>
  <si>
    <t>L251113-053</t>
  </si>
  <si>
    <t>L251114-054</t>
  </si>
  <si>
    <t>L251115-055</t>
  </si>
  <si>
    <t>L251116-056</t>
  </si>
  <si>
    <t>L251117-057</t>
  </si>
  <si>
    <t>L251118-058</t>
  </si>
  <si>
    <t>L251119-059</t>
  </si>
  <si>
    <t>L251120-060</t>
  </si>
  <si>
    <t>L251121-061</t>
  </si>
  <si>
    <t>L251122-062</t>
  </si>
  <si>
    <t>L251123-063</t>
  </si>
  <si>
    <t>L251124-064</t>
  </si>
  <si>
    <t>L251125-065</t>
  </si>
  <si>
    <t>L251126-066</t>
  </si>
  <si>
    <t>L251127-067</t>
  </si>
  <si>
    <t>L251128-068</t>
  </si>
  <si>
    <t>L251129-069</t>
  </si>
  <si>
    <t>L251130-070</t>
  </si>
  <si>
    <t>L251201-071</t>
  </si>
  <si>
    <t>L251202-072</t>
  </si>
  <si>
    <t>L251203-073</t>
  </si>
  <si>
    <t>L251204-074</t>
  </si>
  <si>
    <t>L251205-075</t>
  </si>
  <si>
    <t>L251206-076</t>
  </si>
  <si>
    <t>L251207-077</t>
  </si>
  <si>
    <t>L251208-078</t>
  </si>
  <si>
    <t>L251209-079</t>
  </si>
  <si>
    <t>L251210-080</t>
  </si>
  <si>
    <t>L251211-081</t>
  </si>
  <si>
    <t>L251212-082</t>
  </si>
  <si>
    <t>L251213-083</t>
  </si>
  <si>
    <t>L251214-084</t>
  </si>
  <si>
    <t>L251215-085</t>
  </si>
  <si>
    <t>L251216-086</t>
  </si>
  <si>
    <t>L251217-087</t>
  </si>
  <si>
    <t>L251218-088</t>
  </si>
  <si>
    <t>L251219-089</t>
  </si>
  <si>
    <t>L251220-090</t>
  </si>
  <si>
    <t>L251221-091</t>
  </si>
  <si>
    <t>L251222-092</t>
  </si>
  <si>
    <t>L251223-093</t>
  </si>
  <si>
    <t>L251224-094</t>
  </si>
  <si>
    <t>L251225-095</t>
  </si>
  <si>
    <t>L251226-096</t>
  </si>
  <si>
    <t>L251227-097</t>
  </si>
  <si>
    <t>L251228-098</t>
  </si>
  <si>
    <t>L251229-099</t>
  </si>
  <si>
    <t>L251230-100</t>
  </si>
  <si>
    <t>L251231-101</t>
  </si>
  <si>
    <t>L260101-102</t>
  </si>
  <si>
    <t>L260102-103</t>
  </si>
  <si>
    <t>L260103-104</t>
  </si>
  <si>
    <t>L260104-105</t>
  </si>
  <si>
    <t>L260105-106</t>
  </si>
  <si>
    <t>L260106-107</t>
  </si>
  <si>
    <t>L260107-108</t>
  </si>
  <si>
    <t>L260108-109</t>
  </si>
  <si>
    <t>L260109-110</t>
  </si>
  <si>
    <t>L260110-111</t>
  </si>
  <si>
    <t>L260111-112</t>
  </si>
  <si>
    <t>L260112-113</t>
  </si>
  <si>
    <t>L260113-114</t>
  </si>
  <si>
    <t>L260114-115</t>
  </si>
  <si>
    <t>L260115-116</t>
  </si>
  <si>
    <t>L260116-117</t>
  </si>
  <si>
    <t>L260117-118</t>
  </si>
  <si>
    <t>L260118-119</t>
  </si>
  <si>
    <t>L260119-120</t>
  </si>
  <si>
    <t>L260120-121</t>
  </si>
  <si>
    <t>L260121-122</t>
  </si>
  <si>
    <t>L260122-123</t>
  </si>
  <si>
    <t>L260123-124</t>
  </si>
  <si>
    <t>L260124-125</t>
  </si>
  <si>
    <t>L260125-126</t>
  </si>
  <si>
    <t>L260126-127</t>
  </si>
  <si>
    <t>L260127-128</t>
  </si>
  <si>
    <t>L260128-129</t>
  </si>
  <si>
    <t>L260129-130</t>
  </si>
  <si>
    <t>L260130-131</t>
  </si>
  <si>
    <t>L260131-132</t>
  </si>
  <si>
    <t>L260201-133</t>
  </si>
  <si>
    <t>L260202-134</t>
  </si>
  <si>
    <t>L260203-135</t>
  </si>
  <si>
    <t>L260204-136</t>
  </si>
  <si>
    <t>L260205-137</t>
  </si>
  <si>
    <t>L260206-138</t>
  </si>
  <si>
    <t>L260207-139</t>
  </si>
  <si>
    <t>L260208-140</t>
  </si>
  <si>
    <t>L260209-141</t>
  </si>
  <si>
    <t>L260210-142</t>
  </si>
  <si>
    <t>L260211-143</t>
  </si>
  <si>
    <t>L260212-144</t>
  </si>
  <si>
    <t>L260213-145</t>
  </si>
  <si>
    <t>L260214-146</t>
  </si>
  <si>
    <t>L260215-147</t>
  </si>
  <si>
    <t>L260216-148</t>
  </si>
  <si>
    <t>L260217-149</t>
  </si>
  <si>
    <t>L260218-150</t>
  </si>
  <si>
    <t>L260219-151</t>
  </si>
  <si>
    <t>L260220-152</t>
  </si>
  <si>
    <t>L260221-153</t>
  </si>
  <si>
    <t>L260222-154</t>
  </si>
  <si>
    <t>L260223-155</t>
  </si>
  <si>
    <t>L260224-156</t>
  </si>
  <si>
    <t>L260225-157</t>
  </si>
  <si>
    <t>L260226-158</t>
  </si>
  <si>
    <t>L260227-159</t>
  </si>
  <si>
    <t>L260228-160</t>
  </si>
  <si>
    <t>L260301-161</t>
  </si>
  <si>
    <t>L260302-162</t>
  </si>
  <si>
    <t>L260303-163</t>
  </si>
  <si>
    <t>L260304-164</t>
  </si>
  <si>
    <t>L260305-165</t>
  </si>
  <si>
    <t>L260306-166</t>
  </si>
  <si>
    <t>L260307-167</t>
  </si>
  <si>
    <t>L260308-168</t>
  </si>
  <si>
    <t>L260309-169</t>
  </si>
  <si>
    <t>L260310-170</t>
  </si>
  <si>
    <t>L260311-171</t>
  </si>
  <si>
    <t>L260312-172</t>
  </si>
  <si>
    <t>L260313-173</t>
  </si>
  <si>
    <t>L260314-174</t>
  </si>
  <si>
    <t>L260315-175</t>
  </si>
  <si>
    <t>L260316-176</t>
  </si>
  <si>
    <t>L260317-177</t>
  </si>
  <si>
    <t>L260318-178</t>
  </si>
  <si>
    <t>L260319-179</t>
  </si>
  <si>
    <t>L260320-180</t>
  </si>
  <si>
    <t>L260321-181</t>
  </si>
  <si>
    <t>L260322-182</t>
  </si>
  <si>
    <t>L260323-183</t>
  </si>
  <si>
    <t>L260324-184</t>
  </si>
  <si>
    <t>L260325-185</t>
  </si>
  <si>
    <t>L260326-186</t>
  </si>
  <si>
    <t>L260327-187</t>
  </si>
  <si>
    <t>L260328-188</t>
  </si>
  <si>
    <t>L260329-189</t>
  </si>
  <si>
    <t>L260330-190</t>
  </si>
  <si>
    <t>L260331-191</t>
  </si>
  <si>
    <t>L260401-192</t>
  </si>
  <si>
    <t>L260402-193</t>
  </si>
  <si>
    <t>L260403-194</t>
  </si>
  <si>
    <t>L260404-195</t>
  </si>
  <si>
    <t>L260405-196</t>
  </si>
  <si>
    <t>L260406-197</t>
  </si>
  <si>
    <t>L260407-198</t>
  </si>
  <si>
    <t>L260408-199</t>
  </si>
  <si>
    <t>L260409-200</t>
  </si>
  <si>
    <t>L260410-201</t>
  </si>
  <si>
    <t>L260411-202</t>
  </si>
  <si>
    <t>L260412-203</t>
  </si>
  <si>
    <t>L260413-204</t>
  </si>
  <si>
    <t>L260414-205</t>
  </si>
  <si>
    <t>L260415-206</t>
  </si>
  <si>
    <t>L260416-207</t>
  </si>
  <si>
    <t>L260417-208</t>
  </si>
  <si>
    <t>L260418-209</t>
  </si>
  <si>
    <t>L260419-210</t>
  </si>
  <si>
    <t>L260420-211</t>
  </si>
  <si>
    <t>L260421-212</t>
  </si>
  <si>
    <t>L260422-213</t>
  </si>
  <si>
    <t>L260423-214</t>
  </si>
  <si>
    <t>L260424-215</t>
  </si>
  <si>
    <t>L260425-216</t>
  </si>
  <si>
    <t>L260426-217</t>
  </si>
  <si>
    <t>L260427-218</t>
  </si>
  <si>
    <t>L260428-219</t>
  </si>
  <si>
    <t>L260429-220</t>
  </si>
  <si>
    <t>L260430-221</t>
  </si>
  <si>
    <t>L260501-222</t>
  </si>
  <si>
    <t>L260502-223</t>
  </si>
  <si>
    <t>L260503-224</t>
  </si>
  <si>
    <t>L260504-225</t>
  </si>
  <si>
    <t>L260505-226</t>
  </si>
  <si>
    <t>L260506-227</t>
  </si>
  <si>
    <t>L260507-228</t>
  </si>
  <si>
    <t>L260508-229</t>
  </si>
  <si>
    <t>L260509-230</t>
  </si>
  <si>
    <t>L260510-231</t>
  </si>
  <si>
    <t>L260511-232</t>
  </si>
  <si>
    <t>L260512-233</t>
  </si>
  <si>
    <t>L260513-234</t>
  </si>
  <si>
    <t>L260514-235</t>
  </si>
  <si>
    <t>L260515-236</t>
  </si>
  <si>
    <t>L260516-237</t>
  </si>
  <si>
    <t>L260517-238</t>
  </si>
  <si>
    <t>L260518-239</t>
  </si>
  <si>
    <t>L260519-240</t>
  </si>
  <si>
    <t>L260520-241</t>
  </si>
  <si>
    <t>L260521-242</t>
  </si>
  <si>
    <t>L260522-243</t>
  </si>
  <si>
    <t>L260523-244</t>
  </si>
  <si>
    <t>L260524-245</t>
  </si>
  <si>
    <t>L260525-246</t>
  </si>
  <si>
    <t>L260526-247</t>
  </si>
  <si>
    <t>L260527-248</t>
  </si>
  <si>
    <t>L260528-249</t>
  </si>
  <si>
    <t>L260529-250</t>
  </si>
  <si>
    <t>L260530-251</t>
  </si>
  <si>
    <t>L260531-252</t>
  </si>
  <si>
    <t>L260601-253</t>
  </si>
  <si>
    <t>L260602-254</t>
  </si>
  <si>
    <t>L260603-255</t>
  </si>
  <si>
    <t>L260604-256</t>
  </si>
  <si>
    <t>L260605-257</t>
  </si>
  <si>
    <t>L260606-258</t>
  </si>
  <si>
    <t>L260607-259</t>
  </si>
  <si>
    <t>L260608-260</t>
  </si>
  <si>
    <t>Campo</t>
  </si>
  <si>
    <t>Descripción</t>
  </si>
  <si>
    <t>Unidad / tipo</t>
  </si>
  <si>
    <t>Rol analítico sugerido</t>
  </si>
  <si>
    <t>Fecha del registro</t>
  </si>
  <si>
    <t>fecha</t>
  </si>
  <si>
    <t>Identificador</t>
  </si>
  <si>
    <t>Centro productivo</t>
  </si>
  <si>
    <t>texto</t>
  </si>
  <si>
    <t>Línea de producción</t>
  </si>
  <si>
    <t>Turno operativo</t>
  </si>
  <si>
    <t>Código de producto</t>
  </si>
  <si>
    <t>Familia de producto</t>
  </si>
  <si>
    <t>Toneladas planificadas</t>
  </si>
  <si>
    <t>t</t>
  </si>
  <si>
    <t>Variable explicativa</t>
  </si>
  <si>
    <t>Toneladas buenas producidas</t>
  </si>
  <si>
    <t>Resultado</t>
  </si>
  <si>
    <t>Materia prima consumida</t>
  </si>
  <si>
    <t>Horas calendario disponibles</t>
  </si>
  <si>
    <t>h</t>
  </si>
  <si>
    <t>Horas efectivas de producción</t>
  </si>
  <si>
    <t>Minutos de paro</t>
  </si>
  <si>
    <t>min</t>
  </si>
  <si>
    <t>Dotación equivalente</t>
  </si>
  <si>
    <t>FTE</t>
  </si>
  <si>
    <t>Horas-hombre empleadas</t>
  </si>
  <si>
    <t>hh</t>
  </si>
  <si>
    <t>Consumo energético</t>
  </si>
  <si>
    <t>kWh</t>
  </si>
  <si>
    <t>Merma sobre materia prima</t>
  </si>
  <si>
    <t>%</t>
  </si>
  <si>
    <t>Producto bueno / materia prima</t>
  </si>
  <si>
    <t>Proporción reprocesada</t>
  </si>
  <si>
    <t>Proporción rechazada</t>
  </si>
  <si>
    <t>Uso efectivo de capacidad</t>
  </si>
  <si>
    <t>Indicador compuesto de disponibilidad, desempeño y calidad</t>
  </si>
  <si>
    <t>Producción real / producción programada</t>
  </si>
  <si>
    <t>Toneladas buenas por hora-hombre</t>
  </si>
  <si>
    <t>t/hh</t>
  </si>
  <si>
    <t>Costo de materia prima</t>
  </si>
  <si>
    <t>MXN</t>
  </si>
  <si>
    <t>Costo de mano de obra</t>
  </si>
  <si>
    <t>Costo de energía</t>
  </si>
  <si>
    <t>Costo total del registro</t>
  </si>
  <si>
    <t>Costo total / toneladas producidas</t>
  </si>
  <si>
    <t>MXN/t</t>
  </si>
  <si>
    <t>Identificador único de lote</t>
  </si>
  <si>
    <t>Evento operativo predominante</t>
  </si>
  <si>
    <t>TABLERO DE EFICIENCIA DE PRODUCCIÓN</t>
  </si>
  <si>
    <t>Volumen producido (t)</t>
  </si>
  <si>
    <t>Yield promedio</t>
  </si>
  <si>
    <t>OEE promedio</t>
  </si>
  <si>
    <t>Cumplimiento de plan</t>
  </si>
  <si>
    <t>Eficiencia laboral (t/hh)</t>
  </si>
  <si>
    <t>Costo promedio por t</t>
  </si>
  <si>
    <t>MATRIZ DE CORRELACIÓN</t>
  </si>
  <si>
    <t>INSTRUCCIONES DE USO</t>
  </si>
  <si>
    <t>1. Base_Datos contiene datos sintéticos de ejemplo y puede reemplazarse por información real manteniendo los encabezados.</t>
  </si>
  <si>
    <t>2. Campos azules son entradas. Las hojas Resumen y Correlacion contienen resultados y visualizaciones.</t>
  </si>
  <si>
    <t>3. El archivo app_eficiencia.py permite cargar esta base, filtrar, visualizar correlaciones y ejecutar regresión lineal exploratoria.</t>
  </si>
  <si>
    <t>4. No se incluye ningún algoritmo de frontera eficiente, Markowitz o Malkowitz.</t>
  </si>
  <si>
    <t>5. Para análisis productivo, valide definiciones de OEE, yield, costos y unidades contra los estándares de su planta.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</si>
</sst>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5" formatCode="dd/mm/yyyy"/>
    <numFmt numFmtId="166" formatCode="#,##0.00;[Red]\(#,##0.00\);\-"/>
    <numFmt numFmtId="167" formatCode="0.0%"/>
    <numFmt numFmtId="168" formatCode="\$#,##0;[Red]\(\$#,##0\);\-"/>
    <numFmt numFmtId="169" formatCode="#,##0.0"/>
    <numFmt numFmtId="170" formatCode="0.000"/>
    <numFmt numFmtId="171" formatCode="\$#,##0"/>
  </numFmts>
  <fonts count="8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00FF"/>
      <name val="Calibri"/>
    </font>
    <font>
      <b/>
      <sz val="16"/>
      <color rgb="FFFFFFFF"/>
      <name val="Calibri"/>
    </font>
    <font>
      <b/>
      <sz val="11"/>
      <color rgb="FF666666"/>
      <name val="Calibri"/>
    </font>
    <font>
      <b/>
      <sz val="11"/>
      <color rgb="FF000000"/>
      <name val="Calibri"/>
    </font>
    <font>
      <b/>
      <sz val="14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DEBF7"/>
      </patternFill>
    </fill>
    <fill>
      <patternFill patternType="solid">
        <fgColor rgb="FF00A6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5" fontId="2" fillId="0" borderId="0" xfId="0" applyNumberFormat="1" applyFont="1"/>
    <xf numFmtId="0" fontId="2" fillId="0" borderId="0" xfId="0" applyFont="1"/>
    <xf numFmtId="166" fontId="2" fillId="0" borderId="0" xfId="0" applyNumberFormat="1" applyFont="1"/>
    <xf numFmtId="167" fontId="2" fillId="0" borderId="0" xfId="0" applyNumberFormat="1" applyFont="1"/>
    <xf numFmtId="168" fontId="2" fillId="0" borderId="0" xfId="0" applyNumberFormat="1" applyFont="1"/>
    <xf numFmtId="0" fontId="1" fillId="2" borderId="0" xfId="0" applyFont="1" applyFill="1"/>
    <xf numFmtId="0" fontId="4" fillId="0" borderId="0" xfId="0" applyFont="1"/>
    <xf numFmtId="169" fontId="5" fillId="3" borderId="0" xfId="0" applyNumberFormat="1" applyFont="1" applyFill="1"/>
    <xf numFmtId="167" fontId="5" fillId="3" borderId="0" xfId="0" applyNumberFormat="1" applyFont="1" applyFill="1"/>
    <xf numFmtId="170" fontId="5" fillId="3" borderId="0" xfId="0" applyNumberFormat="1" applyFont="1" applyFill="1"/>
    <xf numFmtId="171" fontId="5" fillId="3" borderId="0" xfId="0" applyNumberFormat="1" applyFont="1" applyFill="1"/>
    <xf numFmtId="0" fontId="1" fillId="4" borderId="0" xfId="0" applyFont="1" applyFill="1" applyAlignment="1">
      <alignment textRotation="45"/>
    </xf>
    <xf numFmtId="0" fontId="7" fillId="0" borderId="0" xfId="0" applyFont="1"/>
    <xf numFmtId="2" fontId="0" fillId="0" borderId="0" xfId="0" applyNumberFormat="1"/>
    <xf numFmtId="0" fontId="3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0" fillId="0" borderId="0" xfId="0" applyAlignment="1">
      <alignment vertical="top" wrapText="1"/>
    </xf>
    <xf numFmtId="0" fontId="0" fillId="0" borderId="0" xfId="0" applyAlignment="1"/>
    <xf numFmtId="0" fontId="3" fillId="2" borderId="0" xfId="0" applyFont="1" applyFill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Volumen producido vs paros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Registros</c:v>
          </c:tx>
          <c:spPr>
            <a:ln>
              <a:noFill/>
              <a:prstDash val="solid"/>
            </a:ln>
          </c:spPr>
          <c:marker>
            <c:symbol val="circle"/>
            <c:size val="4"/>
            <c:spPr>
              <a:ln>
                <a:prstDash val="solid"/>
              </a:ln>
            </c:spPr>
          </c:marker>
          <c:trendline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Base_Datos!$L$2:$L$261</c:f>
              <c:numCache>
                <c:formatCode>#,##0.00;[Red]\(#,##0.00\);\-</c:formatCode>
                <c:ptCount val="260"/>
                <c:pt idx="0">
                  <c:v>35.5</c:v>
                </c:pt>
                <c:pt idx="1">
                  <c:v>6.1</c:v>
                </c:pt>
                <c:pt idx="2">
                  <c:v>6.3</c:v>
                </c:pt>
                <c:pt idx="3">
                  <c:v>5.3</c:v>
                </c:pt>
                <c:pt idx="4">
                  <c:v>10.4</c:v>
                </c:pt>
                <c:pt idx="5">
                  <c:v>29.1</c:v>
                </c:pt>
                <c:pt idx="6">
                  <c:v>27.8</c:v>
                </c:pt>
                <c:pt idx="7">
                  <c:v>16.600000000000001</c:v>
                </c:pt>
                <c:pt idx="8">
                  <c:v>20.3</c:v>
                </c:pt>
                <c:pt idx="9">
                  <c:v>3.3</c:v>
                </c:pt>
                <c:pt idx="10">
                  <c:v>3.3</c:v>
                </c:pt>
                <c:pt idx="11">
                  <c:v>16</c:v>
                </c:pt>
                <c:pt idx="12">
                  <c:v>9.1999999999999993</c:v>
                </c:pt>
                <c:pt idx="13">
                  <c:v>5.0999999999999996</c:v>
                </c:pt>
                <c:pt idx="14">
                  <c:v>13.8</c:v>
                </c:pt>
                <c:pt idx="15">
                  <c:v>8.6999999999999993</c:v>
                </c:pt>
                <c:pt idx="16">
                  <c:v>9.9</c:v>
                </c:pt>
                <c:pt idx="17">
                  <c:v>3.4</c:v>
                </c:pt>
                <c:pt idx="18">
                  <c:v>8</c:v>
                </c:pt>
                <c:pt idx="19">
                  <c:v>6.6</c:v>
                </c:pt>
                <c:pt idx="20">
                  <c:v>14.6</c:v>
                </c:pt>
                <c:pt idx="21">
                  <c:v>13.3</c:v>
                </c:pt>
                <c:pt idx="22">
                  <c:v>2.2000000000000002</c:v>
                </c:pt>
                <c:pt idx="23">
                  <c:v>7.6</c:v>
                </c:pt>
                <c:pt idx="24">
                  <c:v>3.5</c:v>
                </c:pt>
                <c:pt idx="25">
                  <c:v>20.399999999999999</c:v>
                </c:pt>
                <c:pt idx="26">
                  <c:v>33.200000000000003</c:v>
                </c:pt>
                <c:pt idx="27">
                  <c:v>29.9</c:v>
                </c:pt>
                <c:pt idx="28">
                  <c:v>20.5</c:v>
                </c:pt>
                <c:pt idx="29">
                  <c:v>18.8</c:v>
                </c:pt>
                <c:pt idx="30">
                  <c:v>9.9</c:v>
                </c:pt>
                <c:pt idx="31">
                  <c:v>7.1</c:v>
                </c:pt>
                <c:pt idx="32">
                  <c:v>5</c:v>
                </c:pt>
                <c:pt idx="33">
                  <c:v>19.7</c:v>
                </c:pt>
                <c:pt idx="34">
                  <c:v>9.4</c:v>
                </c:pt>
                <c:pt idx="35">
                  <c:v>27.4</c:v>
                </c:pt>
                <c:pt idx="36">
                  <c:v>24.8</c:v>
                </c:pt>
                <c:pt idx="37">
                  <c:v>24.9</c:v>
                </c:pt>
                <c:pt idx="38">
                  <c:v>12.9</c:v>
                </c:pt>
                <c:pt idx="39">
                  <c:v>1.9</c:v>
                </c:pt>
                <c:pt idx="40">
                  <c:v>11.1</c:v>
                </c:pt>
                <c:pt idx="41">
                  <c:v>23.9</c:v>
                </c:pt>
                <c:pt idx="42">
                  <c:v>12.9</c:v>
                </c:pt>
                <c:pt idx="43">
                  <c:v>22.1</c:v>
                </c:pt>
                <c:pt idx="44">
                  <c:v>8.6999999999999993</c:v>
                </c:pt>
                <c:pt idx="45">
                  <c:v>1.7</c:v>
                </c:pt>
                <c:pt idx="46">
                  <c:v>5</c:v>
                </c:pt>
                <c:pt idx="47">
                  <c:v>4.8</c:v>
                </c:pt>
                <c:pt idx="48">
                  <c:v>4.7</c:v>
                </c:pt>
                <c:pt idx="49">
                  <c:v>28.6</c:v>
                </c:pt>
                <c:pt idx="50">
                  <c:v>36.299999999999997</c:v>
                </c:pt>
                <c:pt idx="51">
                  <c:v>7.4</c:v>
                </c:pt>
                <c:pt idx="52">
                  <c:v>7.8</c:v>
                </c:pt>
                <c:pt idx="53">
                  <c:v>5.2</c:v>
                </c:pt>
                <c:pt idx="54">
                  <c:v>3.9</c:v>
                </c:pt>
                <c:pt idx="55">
                  <c:v>5.2</c:v>
                </c:pt>
                <c:pt idx="56">
                  <c:v>16.2</c:v>
                </c:pt>
                <c:pt idx="57">
                  <c:v>9.6999999999999993</c:v>
                </c:pt>
                <c:pt idx="58">
                  <c:v>7.6</c:v>
                </c:pt>
                <c:pt idx="59">
                  <c:v>21</c:v>
                </c:pt>
                <c:pt idx="60">
                  <c:v>3.8</c:v>
                </c:pt>
                <c:pt idx="61">
                  <c:v>20.9</c:v>
                </c:pt>
                <c:pt idx="62">
                  <c:v>12.4</c:v>
                </c:pt>
                <c:pt idx="63">
                  <c:v>25.2</c:v>
                </c:pt>
                <c:pt idx="64">
                  <c:v>19.7</c:v>
                </c:pt>
                <c:pt idx="65">
                  <c:v>15.3</c:v>
                </c:pt>
                <c:pt idx="66">
                  <c:v>12.2</c:v>
                </c:pt>
                <c:pt idx="67">
                  <c:v>11.3</c:v>
                </c:pt>
                <c:pt idx="68">
                  <c:v>5.5</c:v>
                </c:pt>
                <c:pt idx="69">
                  <c:v>6.6</c:v>
                </c:pt>
                <c:pt idx="70">
                  <c:v>11.3</c:v>
                </c:pt>
                <c:pt idx="71">
                  <c:v>14.4</c:v>
                </c:pt>
                <c:pt idx="72">
                  <c:v>3.8</c:v>
                </c:pt>
                <c:pt idx="73">
                  <c:v>7.3</c:v>
                </c:pt>
                <c:pt idx="74">
                  <c:v>5.3</c:v>
                </c:pt>
                <c:pt idx="75">
                  <c:v>8.6999999999999993</c:v>
                </c:pt>
                <c:pt idx="76">
                  <c:v>8.8000000000000007</c:v>
                </c:pt>
                <c:pt idx="77">
                  <c:v>27.2</c:v>
                </c:pt>
                <c:pt idx="78">
                  <c:v>12.6</c:v>
                </c:pt>
                <c:pt idx="79">
                  <c:v>48</c:v>
                </c:pt>
                <c:pt idx="80">
                  <c:v>14.4</c:v>
                </c:pt>
                <c:pt idx="81">
                  <c:v>9.4</c:v>
                </c:pt>
                <c:pt idx="82">
                  <c:v>17.399999999999999</c:v>
                </c:pt>
                <c:pt idx="83">
                  <c:v>13.6</c:v>
                </c:pt>
                <c:pt idx="84">
                  <c:v>16.899999999999999</c:v>
                </c:pt>
                <c:pt idx="85">
                  <c:v>7.7</c:v>
                </c:pt>
                <c:pt idx="86">
                  <c:v>9.1999999999999993</c:v>
                </c:pt>
                <c:pt idx="87">
                  <c:v>22</c:v>
                </c:pt>
                <c:pt idx="88">
                  <c:v>28.2</c:v>
                </c:pt>
                <c:pt idx="89">
                  <c:v>12.5</c:v>
                </c:pt>
                <c:pt idx="90">
                  <c:v>22.8</c:v>
                </c:pt>
                <c:pt idx="91">
                  <c:v>10</c:v>
                </c:pt>
                <c:pt idx="92">
                  <c:v>20.6</c:v>
                </c:pt>
                <c:pt idx="93">
                  <c:v>11.6</c:v>
                </c:pt>
                <c:pt idx="94">
                  <c:v>21.3</c:v>
                </c:pt>
                <c:pt idx="95">
                  <c:v>7.5</c:v>
                </c:pt>
                <c:pt idx="96">
                  <c:v>13.4</c:v>
                </c:pt>
                <c:pt idx="97">
                  <c:v>5.0999999999999996</c:v>
                </c:pt>
                <c:pt idx="98">
                  <c:v>8.1</c:v>
                </c:pt>
                <c:pt idx="99">
                  <c:v>4.5999999999999996</c:v>
                </c:pt>
                <c:pt idx="100">
                  <c:v>19.100000000000001</c:v>
                </c:pt>
                <c:pt idx="101">
                  <c:v>25.4</c:v>
                </c:pt>
                <c:pt idx="102">
                  <c:v>13.7</c:v>
                </c:pt>
                <c:pt idx="103">
                  <c:v>8</c:v>
                </c:pt>
                <c:pt idx="104">
                  <c:v>25.9</c:v>
                </c:pt>
                <c:pt idx="105">
                  <c:v>15.7</c:v>
                </c:pt>
                <c:pt idx="106">
                  <c:v>7.9</c:v>
                </c:pt>
                <c:pt idx="107">
                  <c:v>3.3</c:v>
                </c:pt>
                <c:pt idx="108">
                  <c:v>13.5</c:v>
                </c:pt>
                <c:pt idx="109">
                  <c:v>19.2</c:v>
                </c:pt>
                <c:pt idx="110">
                  <c:v>31.2</c:v>
                </c:pt>
                <c:pt idx="111">
                  <c:v>9.8000000000000007</c:v>
                </c:pt>
                <c:pt idx="112">
                  <c:v>2.7</c:v>
                </c:pt>
                <c:pt idx="113">
                  <c:v>15</c:v>
                </c:pt>
                <c:pt idx="114">
                  <c:v>8.6999999999999993</c:v>
                </c:pt>
                <c:pt idx="115">
                  <c:v>11.9</c:v>
                </c:pt>
                <c:pt idx="116">
                  <c:v>28.7</c:v>
                </c:pt>
                <c:pt idx="117">
                  <c:v>9.6</c:v>
                </c:pt>
                <c:pt idx="118">
                  <c:v>20</c:v>
                </c:pt>
                <c:pt idx="119">
                  <c:v>3.6</c:v>
                </c:pt>
                <c:pt idx="120">
                  <c:v>21</c:v>
                </c:pt>
                <c:pt idx="121">
                  <c:v>5.7</c:v>
                </c:pt>
                <c:pt idx="122">
                  <c:v>40</c:v>
                </c:pt>
                <c:pt idx="123">
                  <c:v>4.4000000000000004</c:v>
                </c:pt>
                <c:pt idx="124">
                  <c:v>12.3</c:v>
                </c:pt>
                <c:pt idx="125">
                  <c:v>11.9</c:v>
                </c:pt>
                <c:pt idx="126">
                  <c:v>18.7</c:v>
                </c:pt>
                <c:pt idx="127">
                  <c:v>5.5</c:v>
                </c:pt>
                <c:pt idx="128">
                  <c:v>24.8</c:v>
                </c:pt>
                <c:pt idx="129">
                  <c:v>7</c:v>
                </c:pt>
                <c:pt idx="130">
                  <c:v>2.9</c:v>
                </c:pt>
                <c:pt idx="131">
                  <c:v>11.6</c:v>
                </c:pt>
                <c:pt idx="132">
                  <c:v>8.8000000000000007</c:v>
                </c:pt>
                <c:pt idx="133">
                  <c:v>13.6</c:v>
                </c:pt>
                <c:pt idx="134">
                  <c:v>12.1</c:v>
                </c:pt>
                <c:pt idx="135">
                  <c:v>28</c:v>
                </c:pt>
                <c:pt idx="136">
                  <c:v>17.100000000000001</c:v>
                </c:pt>
                <c:pt idx="137">
                  <c:v>18.3</c:v>
                </c:pt>
                <c:pt idx="138">
                  <c:v>4.9000000000000004</c:v>
                </c:pt>
                <c:pt idx="139">
                  <c:v>2.5</c:v>
                </c:pt>
                <c:pt idx="140">
                  <c:v>12.6</c:v>
                </c:pt>
                <c:pt idx="141">
                  <c:v>12.9</c:v>
                </c:pt>
                <c:pt idx="142">
                  <c:v>16.399999999999999</c:v>
                </c:pt>
                <c:pt idx="143">
                  <c:v>27.6</c:v>
                </c:pt>
                <c:pt idx="144">
                  <c:v>15.1</c:v>
                </c:pt>
                <c:pt idx="145">
                  <c:v>33.799999999999997</c:v>
                </c:pt>
                <c:pt idx="146">
                  <c:v>14.4</c:v>
                </c:pt>
                <c:pt idx="147">
                  <c:v>11.7</c:v>
                </c:pt>
                <c:pt idx="148">
                  <c:v>7.7</c:v>
                </c:pt>
                <c:pt idx="149">
                  <c:v>19.600000000000001</c:v>
                </c:pt>
                <c:pt idx="150">
                  <c:v>23.3</c:v>
                </c:pt>
                <c:pt idx="151">
                  <c:v>30.4</c:v>
                </c:pt>
                <c:pt idx="152">
                  <c:v>3.3</c:v>
                </c:pt>
                <c:pt idx="153">
                  <c:v>21</c:v>
                </c:pt>
                <c:pt idx="154">
                  <c:v>26</c:v>
                </c:pt>
                <c:pt idx="155">
                  <c:v>13.9</c:v>
                </c:pt>
                <c:pt idx="156">
                  <c:v>24.4</c:v>
                </c:pt>
                <c:pt idx="157">
                  <c:v>17.2</c:v>
                </c:pt>
                <c:pt idx="158">
                  <c:v>2.4</c:v>
                </c:pt>
                <c:pt idx="159">
                  <c:v>12.1</c:v>
                </c:pt>
                <c:pt idx="160">
                  <c:v>14.2</c:v>
                </c:pt>
                <c:pt idx="161">
                  <c:v>9.1</c:v>
                </c:pt>
                <c:pt idx="162">
                  <c:v>15.9</c:v>
                </c:pt>
                <c:pt idx="163">
                  <c:v>12.4</c:v>
                </c:pt>
                <c:pt idx="164">
                  <c:v>2.2000000000000002</c:v>
                </c:pt>
                <c:pt idx="165">
                  <c:v>5.3</c:v>
                </c:pt>
                <c:pt idx="166">
                  <c:v>15</c:v>
                </c:pt>
                <c:pt idx="167">
                  <c:v>36.700000000000003</c:v>
                </c:pt>
                <c:pt idx="168">
                  <c:v>2.8</c:v>
                </c:pt>
                <c:pt idx="169">
                  <c:v>6.1</c:v>
                </c:pt>
                <c:pt idx="170">
                  <c:v>28.7</c:v>
                </c:pt>
                <c:pt idx="171">
                  <c:v>16.899999999999999</c:v>
                </c:pt>
                <c:pt idx="172">
                  <c:v>10.9</c:v>
                </c:pt>
                <c:pt idx="173">
                  <c:v>7.8</c:v>
                </c:pt>
                <c:pt idx="174">
                  <c:v>7.8</c:v>
                </c:pt>
                <c:pt idx="175">
                  <c:v>25.6</c:v>
                </c:pt>
                <c:pt idx="176">
                  <c:v>7.3</c:v>
                </c:pt>
                <c:pt idx="177">
                  <c:v>14.2</c:v>
                </c:pt>
                <c:pt idx="178">
                  <c:v>17.2</c:v>
                </c:pt>
                <c:pt idx="179">
                  <c:v>11.5</c:v>
                </c:pt>
                <c:pt idx="180">
                  <c:v>12.5</c:v>
                </c:pt>
                <c:pt idx="181">
                  <c:v>4.9000000000000004</c:v>
                </c:pt>
                <c:pt idx="182">
                  <c:v>10.7</c:v>
                </c:pt>
                <c:pt idx="183">
                  <c:v>1.3</c:v>
                </c:pt>
                <c:pt idx="184">
                  <c:v>13.3</c:v>
                </c:pt>
                <c:pt idx="185">
                  <c:v>26.2</c:v>
                </c:pt>
                <c:pt idx="186">
                  <c:v>31.6</c:v>
                </c:pt>
                <c:pt idx="187">
                  <c:v>16.3</c:v>
                </c:pt>
                <c:pt idx="188">
                  <c:v>9</c:v>
                </c:pt>
                <c:pt idx="189">
                  <c:v>4.4000000000000004</c:v>
                </c:pt>
                <c:pt idx="190">
                  <c:v>16.899999999999999</c:v>
                </c:pt>
                <c:pt idx="191">
                  <c:v>6.9</c:v>
                </c:pt>
                <c:pt idx="192">
                  <c:v>15.5</c:v>
                </c:pt>
                <c:pt idx="193">
                  <c:v>7.4</c:v>
                </c:pt>
                <c:pt idx="194">
                  <c:v>15.9</c:v>
                </c:pt>
                <c:pt idx="195">
                  <c:v>16.100000000000001</c:v>
                </c:pt>
                <c:pt idx="196">
                  <c:v>29.2</c:v>
                </c:pt>
                <c:pt idx="197">
                  <c:v>9.4</c:v>
                </c:pt>
                <c:pt idx="198">
                  <c:v>6.4</c:v>
                </c:pt>
                <c:pt idx="199">
                  <c:v>5.4</c:v>
                </c:pt>
                <c:pt idx="200">
                  <c:v>4.9000000000000004</c:v>
                </c:pt>
                <c:pt idx="201">
                  <c:v>24.5</c:v>
                </c:pt>
                <c:pt idx="202">
                  <c:v>10.7</c:v>
                </c:pt>
                <c:pt idx="203">
                  <c:v>4.8</c:v>
                </c:pt>
                <c:pt idx="204">
                  <c:v>6.5</c:v>
                </c:pt>
                <c:pt idx="205">
                  <c:v>24.6</c:v>
                </c:pt>
                <c:pt idx="206">
                  <c:v>21.2</c:v>
                </c:pt>
                <c:pt idx="207">
                  <c:v>7.7</c:v>
                </c:pt>
                <c:pt idx="208">
                  <c:v>15.5</c:v>
                </c:pt>
                <c:pt idx="209">
                  <c:v>5.3</c:v>
                </c:pt>
                <c:pt idx="210">
                  <c:v>2.6</c:v>
                </c:pt>
                <c:pt idx="211">
                  <c:v>11.1</c:v>
                </c:pt>
                <c:pt idx="212">
                  <c:v>10.7</c:v>
                </c:pt>
                <c:pt idx="213">
                  <c:v>5.8</c:v>
                </c:pt>
                <c:pt idx="214">
                  <c:v>2.5</c:v>
                </c:pt>
                <c:pt idx="215">
                  <c:v>4.0999999999999996</c:v>
                </c:pt>
                <c:pt idx="216">
                  <c:v>2.6</c:v>
                </c:pt>
                <c:pt idx="217">
                  <c:v>6.2</c:v>
                </c:pt>
                <c:pt idx="218">
                  <c:v>6.6</c:v>
                </c:pt>
                <c:pt idx="219">
                  <c:v>11.5</c:v>
                </c:pt>
                <c:pt idx="220">
                  <c:v>15</c:v>
                </c:pt>
                <c:pt idx="221">
                  <c:v>5</c:v>
                </c:pt>
                <c:pt idx="222">
                  <c:v>3.8</c:v>
                </c:pt>
                <c:pt idx="223">
                  <c:v>17.399999999999999</c:v>
                </c:pt>
                <c:pt idx="224">
                  <c:v>13.5</c:v>
                </c:pt>
                <c:pt idx="225">
                  <c:v>31.1</c:v>
                </c:pt>
                <c:pt idx="226">
                  <c:v>19.399999999999999</c:v>
                </c:pt>
                <c:pt idx="227">
                  <c:v>24.4</c:v>
                </c:pt>
                <c:pt idx="228">
                  <c:v>30.9</c:v>
                </c:pt>
                <c:pt idx="229">
                  <c:v>21.8</c:v>
                </c:pt>
                <c:pt idx="230">
                  <c:v>15.1</c:v>
                </c:pt>
                <c:pt idx="231">
                  <c:v>6.9</c:v>
                </c:pt>
                <c:pt idx="232">
                  <c:v>10.9</c:v>
                </c:pt>
                <c:pt idx="233">
                  <c:v>12.8</c:v>
                </c:pt>
                <c:pt idx="234">
                  <c:v>10.4</c:v>
                </c:pt>
                <c:pt idx="235">
                  <c:v>10.3</c:v>
                </c:pt>
                <c:pt idx="236">
                  <c:v>23.8</c:v>
                </c:pt>
                <c:pt idx="237">
                  <c:v>5.9</c:v>
                </c:pt>
                <c:pt idx="238">
                  <c:v>21.1</c:v>
                </c:pt>
                <c:pt idx="239">
                  <c:v>17.3</c:v>
                </c:pt>
                <c:pt idx="240">
                  <c:v>3.4</c:v>
                </c:pt>
                <c:pt idx="241">
                  <c:v>5.2</c:v>
                </c:pt>
                <c:pt idx="242">
                  <c:v>21.8</c:v>
                </c:pt>
                <c:pt idx="243">
                  <c:v>19.399999999999999</c:v>
                </c:pt>
                <c:pt idx="244">
                  <c:v>5.7</c:v>
                </c:pt>
                <c:pt idx="245">
                  <c:v>19.7</c:v>
                </c:pt>
                <c:pt idx="246">
                  <c:v>6.5</c:v>
                </c:pt>
                <c:pt idx="247">
                  <c:v>12.3</c:v>
                </c:pt>
                <c:pt idx="248">
                  <c:v>5.9</c:v>
                </c:pt>
                <c:pt idx="249">
                  <c:v>7.1</c:v>
                </c:pt>
                <c:pt idx="250">
                  <c:v>10.4</c:v>
                </c:pt>
                <c:pt idx="251">
                  <c:v>32.799999999999997</c:v>
                </c:pt>
                <c:pt idx="252">
                  <c:v>23.9</c:v>
                </c:pt>
                <c:pt idx="253">
                  <c:v>16.5</c:v>
                </c:pt>
                <c:pt idx="254">
                  <c:v>11.5</c:v>
                </c:pt>
                <c:pt idx="255">
                  <c:v>8.1</c:v>
                </c:pt>
                <c:pt idx="256">
                  <c:v>5.5</c:v>
                </c:pt>
                <c:pt idx="257">
                  <c:v>21.9</c:v>
                </c:pt>
                <c:pt idx="258">
                  <c:v>13.4</c:v>
                </c:pt>
                <c:pt idx="259">
                  <c:v>19.399999999999999</c:v>
                </c:pt>
              </c:numCache>
            </c:numRef>
          </c:xVal>
          <c:yVal>
            <c:numRef>
              <c:f>Base_Datos!$H$2:$H$261</c:f>
              <c:numCache>
                <c:formatCode>#,##0.00;[Red]\(#,##0.00\);\-</c:formatCode>
                <c:ptCount val="260"/>
                <c:pt idx="0">
                  <c:v>83.65</c:v>
                </c:pt>
                <c:pt idx="1">
                  <c:v>107.76</c:v>
                </c:pt>
                <c:pt idx="2">
                  <c:v>134.80000000000001</c:v>
                </c:pt>
                <c:pt idx="3">
                  <c:v>88.19</c:v>
                </c:pt>
                <c:pt idx="4">
                  <c:v>95.41</c:v>
                </c:pt>
                <c:pt idx="5">
                  <c:v>109.54</c:v>
                </c:pt>
                <c:pt idx="6">
                  <c:v>108.43</c:v>
                </c:pt>
                <c:pt idx="7">
                  <c:v>134.52000000000001</c:v>
                </c:pt>
                <c:pt idx="8">
                  <c:v>133.5</c:v>
                </c:pt>
                <c:pt idx="9">
                  <c:v>104.2</c:v>
                </c:pt>
                <c:pt idx="10">
                  <c:v>90.29</c:v>
                </c:pt>
                <c:pt idx="11">
                  <c:v>134.41</c:v>
                </c:pt>
                <c:pt idx="12">
                  <c:v>162.55000000000001</c:v>
                </c:pt>
                <c:pt idx="13">
                  <c:v>97.93</c:v>
                </c:pt>
                <c:pt idx="14">
                  <c:v>131.85</c:v>
                </c:pt>
                <c:pt idx="15">
                  <c:v>115.97</c:v>
                </c:pt>
                <c:pt idx="16">
                  <c:v>102.76</c:v>
                </c:pt>
                <c:pt idx="17">
                  <c:v>131.44999999999999</c:v>
                </c:pt>
                <c:pt idx="18">
                  <c:v>113.37</c:v>
                </c:pt>
                <c:pt idx="19">
                  <c:v>125.24</c:v>
                </c:pt>
                <c:pt idx="20">
                  <c:v>126.85</c:v>
                </c:pt>
                <c:pt idx="21">
                  <c:v>139.15</c:v>
                </c:pt>
                <c:pt idx="22">
                  <c:v>141.97999999999999</c:v>
                </c:pt>
                <c:pt idx="23">
                  <c:v>124.73</c:v>
                </c:pt>
                <c:pt idx="24">
                  <c:v>136.91</c:v>
                </c:pt>
                <c:pt idx="25">
                  <c:v>126.17</c:v>
                </c:pt>
                <c:pt idx="26">
                  <c:v>131.32</c:v>
                </c:pt>
                <c:pt idx="27">
                  <c:v>96.88</c:v>
                </c:pt>
                <c:pt idx="28">
                  <c:v>101.36</c:v>
                </c:pt>
                <c:pt idx="29">
                  <c:v>126.03</c:v>
                </c:pt>
                <c:pt idx="30">
                  <c:v>113.99</c:v>
                </c:pt>
                <c:pt idx="31">
                  <c:v>144.5</c:v>
                </c:pt>
                <c:pt idx="32">
                  <c:v>76.78</c:v>
                </c:pt>
                <c:pt idx="33">
                  <c:v>127.17</c:v>
                </c:pt>
                <c:pt idx="34">
                  <c:v>130.62</c:v>
                </c:pt>
                <c:pt idx="35">
                  <c:v>120.91</c:v>
                </c:pt>
                <c:pt idx="36">
                  <c:v>151.63</c:v>
                </c:pt>
                <c:pt idx="37">
                  <c:v>109.14</c:v>
                </c:pt>
                <c:pt idx="38">
                  <c:v>132.51</c:v>
                </c:pt>
                <c:pt idx="39">
                  <c:v>94.58</c:v>
                </c:pt>
                <c:pt idx="40">
                  <c:v>166.48</c:v>
                </c:pt>
                <c:pt idx="41">
                  <c:v>125.46</c:v>
                </c:pt>
                <c:pt idx="42">
                  <c:v>90.23</c:v>
                </c:pt>
                <c:pt idx="43">
                  <c:v>87.41</c:v>
                </c:pt>
                <c:pt idx="44">
                  <c:v>122.47</c:v>
                </c:pt>
                <c:pt idx="45">
                  <c:v>136.1</c:v>
                </c:pt>
                <c:pt idx="46">
                  <c:v>125.79</c:v>
                </c:pt>
                <c:pt idx="47">
                  <c:v>115.45</c:v>
                </c:pt>
                <c:pt idx="48">
                  <c:v>140.43</c:v>
                </c:pt>
                <c:pt idx="49">
                  <c:v>103.28</c:v>
                </c:pt>
                <c:pt idx="50">
                  <c:v>102.39</c:v>
                </c:pt>
                <c:pt idx="51">
                  <c:v>85.13</c:v>
                </c:pt>
                <c:pt idx="52">
                  <c:v>118.24</c:v>
                </c:pt>
                <c:pt idx="53">
                  <c:v>111.63</c:v>
                </c:pt>
                <c:pt idx="54">
                  <c:v>102.46</c:v>
                </c:pt>
                <c:pt idx="55">
                  <c:v>117.37</c:v>
                </c:pt>
                <c:pt idx="56">
                  <c:v>71.150000000000006</c:v>
                </c:pt>
                <c:pt idx="57">
                  <c:v>128.83000000000001</c:v>
                </c:pt>
                <c:pt idx="58">
                  <c:v>135.34</c:v>
                </c:pt>
                <c:pt idx="59">
                  <c:v>105.23</c:v>
                </c:pt>
                <c:pt idx="60">
                  <c:v>115.08</c:v>
                </c:pt>
                <c:pt idx="61">
                  <c:v>106.38</c:v>
                </c:pt>
                <c:pt idx="62">
                  <c:v>110.51</c:v>
                </c:pt>
                <c:pt idx="63">
                  <c:v>89.41</c:v>
                </c:pt>
                <c:pt idx="64">
                  <c:v>148.61000000000001</c:v>
                </c:pt>
                <c:pt idx="65">
                  <c:v>109.83</c:v>
                </c:pt>
                <c:pt idx="66">
                  <c:v>99.97</c:v>
                </c:pt>
                <c:pt idx="67">
                  <c:v>98.97</c:v>
                </c:pt>
                <c:pt idx="68">
                  <c:v>102.81</c:v>
                </c:pt>
                <c:pt idx="69">
                  <c:v>140.29</c:v>
                </c:pt>
                <c:pt idx="70">
                  <c:v>126.75</c:v>
                </c:pt>
                <c:pt idx="71">
                  <c:v>137.4</c:v>
                </c:pt>
                <c:pt idx="72">
                  <c:v>161.13</c:v>
                </c:pt>
                <c:pt idx="73">
                  <c:v>121.66</c:v>
                </c:pt>
                <c:pt idx="74">
                  <c:v>111.77</c:v>
                </c:pt>
                <c:pt idx="75">
                  <c:v>102.4</c:v>
                </c:pt>
                <c:pt idx="76">
                  <c:v>127.95</c:v>
                </c:pt>
                <c:pt idx="77">
                  <c:v>104.17</c:v>
                </c:pt>
                <c:pt idx="78">
                  <c:v>101.25</c:v>
                </c:pt>
                <c:pt idx="79">
                  <c:v>86.14</c:v>
                </c:pt>
                <c:pt idx="80">
                  <c:v>157.35</c:v>
                </c:pt>
                <c:pt idx="81">
                  <c:v>114.63</c:v>
                </c:pt>
                <c:pt idx="82">
                  <c:v>134.59</c:v>
                </c:pt>
                <c:pt idx="83">
                  <c:v>112.5</c:v>
                </c:pt>
                <c:pt idx="84">
                  <c:v>129.97</c:v>
                </c:pt>
                <c:pt idx="85">
                  <c:v>134.13</c:v>
                </c:pt>
                <c:pt idx="86">
                  <c:v>98.58</c:v>
                </c:pt>
                <c:pt idx="87">
                  <c:v>136.35</c:v>
                </c:pt>
                <c:pt idx="88">
                  <c:v>77.040000000000006</c:v>
                </c:pt>
                <c:pt idx="89">
                  <c:v>162.47</c:v>
                </c:pt>
                <c:pt idx="90">
                  <c:v>99.99</c:v>
                </c:pt>
                <c:pt idx="91">
                  <c:v>118.06</c:v>
                </c:pt>
                <c:pt idx="92">
                  <c:v>132.87</c:v>
                </c:pt>
                <c:pt idx="93">
                  <c:v>107.84</c:v>
                </c:pt>
                <c:pt idx="94">
                  <c:v>158.05000000000001</c:v>
                </c:pt>
                <c:pt idx="95">
                  <c:v>129.81</c:v>
                </c:pt>
                <c:pt idx="96">
                  <c:v>125.26</c:v>
                </c:pt>
                <c:pt idx="97">
                  <c:v>138.25</c:v>
                </c:pt>
                <c:pt idx="98">
                  <c:v>133.19</c:v>
                </c:pt>
                <c:pt idx="99">
                  <c:v>114.1</c:v>
                </c:pt>
                <c:pt idx="100">
                  <c:v>145.76</c:v>
                </c:pt>
                <c:pt idx="101">
                  <c:v>129.96</c:v>
                </c:pt>
                <c:pt idx="102">
                  <c:v>104.35</c:v>
                </c:pt>
                <c:pt idx="103">
                  <c:v>126.75</c:v>
                </c:pt>
                <c:pt idx="104">
                  <c:v>70.14</c:v>
                </c:pt>
                <c:pt idx="105">
                  <c:v>107.4</c:v>
                </c:pt>
                <c:pt idx="106">
                  <c:v>110.75</c:v>
                </c:pt>
                <c:pt idx="107">
                  <c:v>146.36000000000001</c:v>
                </c:pt>
                <c:pt idx="108">
                  <c:v>132.63999999999999</c:v>
                </c:pt>
                <c:pt idx="109">
                  <c:v>104.31</c:v>
                </c:pt>
                <c:pt idx="110">
                  <c:v>98.86</c:v>
                </c:pt>
                <c:pt idx="111">
                  <c:v>111.38</c:v>
                </c:pt>
                <c:pt idx="112">
                  <c:v>104.13</c:v>
                </c:pt>
                <c:pt idx="113">
                  <c:v>104.67</c:v>
                </c:pt>
                <c:pt idx="114">
                  <c:v>126.84</c:v>
                </c:pt>
                <c:pt idx="115">
                  <c:v>104.03</c:v>
                </c:pt>
                <c:pt idx="116">
                  <c:v>100.67</c:v>
                </c:pt>
                <c:pt idx="117">
                  <c:v>114.53</c:v>
                </c:pt>
                <c:pt idx="118">
                  <c:v>125.73</c:v>
                </c:pt>
                <c:pt idx="119">
                  <c:v>128.74</c:v>
                </c:pt>
                <c:pt idx="120">
                  <c:v>120.18</c:v>
                </c:pt>
                <c:pt idx="121">
                  <c:v>111.09</c:v>
                </c:pt>
                <c:pt idx="122">
                  <c:v>103.1</c:v>
                </c:pt>
                <c:pt idx="123">
                  <c:v>118.86</c:v>
                </c:pt>
                <c:pt idx="124">
                  <c:v>133.13</c:v>
                </c:pt>
                <c:pt idx="125">
                  <c:v>118.03</c:v>
                </c:pt>
                <c:pt idx="126">
                  <c:v>73.180000000000007</c:v>
                </c:pt>
                <c:pt idx="127">
                  <c:v>118.21</c:v>
                </c:pt>
                <c:pt idx="128">
                  <c:v>120.7</c:v>
                </c:pt>
                <c:pt idx="129">
                  <c:v>118.63</c:v>
                </c:pt>
                <c:pt idx="130">
                  <c:v>158.04</c:v>
                </c:pt>
                <c:pt idx="131">
                  <c:v>121.27</c:v>
                </c:pt>
                <c:pt idx="132">
                  <c:v>130.25</c:v>
                </c:pt>
                <c:pt idx="133">
                  <c:v>74.22</c:v>
                </c:pt>
                <c:pt idx="134">
                  <c:v>122.64</c:v>
                </c:pt>
                <c:pt idx="135">
                  <c:v>157</c:v>
                </c:pt>
                <c:pt idx="136">
                  <c:v>114.36</c:v>
                </c:pt>
                <c:pt idx="137">
                  <c:v>115.34</c:v>
                </c:pt>
                <c:pt idx="138">
                  <c:v>89.94</c:v>
                </c:pt>
                <c:pt idx="139">
                  <c:v>123.8</c:v>
                </c:pt>
                <c:pt idx="140">
                  <c:v>104.3</c:v>
                </c:pt>
                <c:pt idx="141">
                  <c:v>112.28</c:v>
                </c:pt>
                <c:pt idx="142">
                  <c:v>126.75</c:v>
                </c:pt>
                <c:pt idx="143">
                  <c:v>98.9</c:v>
                </c:pt>
                <c:pt idx="144">
                  <c:v>109.51</c:v>
                </c:pt>
                <c:pt idx="145">
                  <c:v>102.71</c:v>
                </c:pt>
                <c:pt idx="146">
                  <c:v>126.23</c:v>
                </c:pt>
                <c:pt idx="147">
                  <c:v>120.28</c:v>
                </c:pt>
                <c:pt idx="148">
                  <c:v>116.38</c:v>
                </c:pt>
                <c:pt idx="149">
                  <c:v>130.9</c:v>
                </c:pt>
                <c:pt idx="150">
                  <c:v>93.86</c:v>
                </c:pt>
                <c:pt idx="151">
                  <c:v>129.35</c:v>
                </c:pt>
                <c:pt idx="152">
                  <c:v>134.24</c:v>
                </c:pt>
                <c:pt idx="153">
                  <c:v>133.59</c:v>
                </c:pt>
                <c:pt idx="154">
                  <c:v>132.76</c:v>
                </c:pt>
                <c:pt idx="155">
                  <c:v>127.3</c:v>
                </c:pt>
                <c:pt idx="156">
                  <c:v>101.89</c:v>
                </c:pt>
                <c:pt idx="157">
                  <c:v>139.77000000000001</c:v>
                </c:pt>
                <c:pt idx="158">
                  <c:v>79.17</c:v>
                </c:pt>
                <c:pt idx="159">
                  <c:v>95.04</c:v>
                </c:pt>
                <c:pt idx="160">
                  <c:v>129.37</c:v>
                </c:pt>
                <c:pt idx="161">
                  <c:v>97.8</c:v>
                </c:pt>
                <c:pt idx="162">
                  <c:v>147.16</c:v>
                </c:pt>
                <c:pt idx="163">
                  <c:v>121.91</c:v>
                </c:pt>
                <c:pt idx="164">
                  <c:v>87.93</c:v>
                </c:pt>
                <c:pt idx="165">
                  <c:v>145.38</c:v>
                </c:pt>
                <c:pt idx="166">
                  <c:v>132.66999999999999</c:v>
                </c:pt>
                <c:pt idx="167">
                  <c:v>88</c:v>
                </c:pt>
                <c:pt idx="168">
                  <c:v>137.38</c:v>
                </c:pt>
                <c:pt idx="169">
                  <c:v>120.32</c:v>
                </c:pt>
                <c:pt idx="170">
                  <c:v>123.26</c:v>
                </c:pt>
                <c:pt idx="171">
                  <c:v>87.71</c:v>
                </c:pt>
                <c:pt idx="172">
                  <c:v>143.29</c:v>
                </c:pt>
                <c:pt idx="173">
                  <c:v>131.66999999999999</c:v>
                </c:pt>
                <c:pt idx="174">
                  <c:v>131.16999999999999</c:v>
                </c:pt>
                <c:pt idx="175">
                  <c:v>88.44</c:v>
                </c:pt>
                <c:pt idx="176">
                  <c:v>94.28</c:v>
                </c:pt>
                <c:pt idx="177">
                  <c:v>95.68</c:v>
                </c:pt>
                <c:pt idx="178">
                  <c:v>155.63</c:v>
                </c:pt>
                <c:pt idx="179">
                  <c:v>107.44</c:v>
                </c:pt>
                <c:pt idx="180">
                  <c:v>103.14</c:v>
                </c:pt>
                <c:pt idx="181">
                  <c:v>118.69</c:v>
                </c:pt>
                <c:pt idx="182">
                  <c:v>115.61</c:v>
                </c:pt>
                <c:pt idx="183">
                  <c:v>117.14</c:v>
                </c:pt>
                <c:pt idx="184">
                  <c:v>100.63</c:v>
                </c:pt>
                <c:pt idx="185">
                  <c:v>116.32</c:v>
                </c:pt>
                <c:pt idx="186">
                  <c:v>115.07</c:v>
                </c:pt>
                <c:pt idx="187">
                  <c:v>121.22</c:v>
                </c:pt>
                <c:pt idx="188">
                  <c:v>123.65</c:v>
                </c:pt>
                <c:pt idx="189">
                  <c:v>147.76</c:v>
                </c:pt>
                <c:pt idx="190">
                  <c:v>111.3</c:v>
                </c:pt>
                <c:pt idx="191">
                  <c:v>133.44</c:v>
                </c:pt>
                <c:pt idx="192">
                  <c:v>138.84</c:v>
                </c:pt>
                <c:pt idx="193">
                  <c:v>127.01</c:v>
                </c:pt>
                <c:pt idx="194">
                  <c:v>92.12</c:v>
                </c:pt>
                <c:pt idx="195">
                  <c:v>125.18</c:v>
                </c:pt>
                <c:pt idx="196">
                  <c:v>118.37</c:v>
                </c:pt>
                <c:pt idx="197">
                  <c:v>128.87</c:v>
                </c:pt>
                <c:pt idx="198">
                  <c:v>82.78</c:v>
                </c:pt>
                <c:pt idx="199">
                  <c:v>174.45</c:v>
                </c:pt>
                <c:pt idx="200">
                  <c:v>122.88</c:v>
                </c:pt>
                <c:pt idx="201">
                  <c:v>104.73</c:v>
                </c:pt>
                <c:pt idx="202">
                  <c:v>176.65</c:v>
                </c:pt>
                <c:pt idx="203">
                  <c:v>149.22</c:v>
                </c:pt>
                <c:pt idx="204">
                  <c:v>127.84</c:v>
                </c:pt>
                <c:pt idx="205">
                  <c:v>112.46</c:v>
                </c:pt>
                <c:pt idx="206">
                  <c:v>111.72</c:v>
                </c:pt>
                <c:pt idx="207">
                  <c:v>111.28</c:v>
                </c:pt>
                <c:pt idx="208">
                  <c:v>151.94999999999999</c:v>
                </c:pt>
                <c:pt idx="209">
                  <c:v>87.75</c:v>
                </c:pt>
                <c:pt idx="210">
                  <c:v>138.02000000000001</c:v>
                </c:pt>
                <c:pt idx="211">
                  <c:v>123.91</c:v>
                </c:pt>
                <c:pt idx="212">
                  <c:v>122.77</c:v>
                </c:pt>
                <c:pt idx="213">
                  <c:v>114.24</c:v>
                </c:pt>
                <c:pt idx="214">
                  <c:v>136.15</c:v>
                </c:pt>
                <c:pt idx="215">
                  <c:v>122.78</c:v>
                </c:pt>
                <c:pt idx="216">
                  <c:v>93.84</c:v>
                </c:pt>
                <c:pt idx="217">
                  <c:v>123.28</c:v>
                </c:pt>
                <c:pt idx="218">
                  <c:v>159.61000000000001</c:v>
                </c:pt>
                <c:pt idx="219">
                  <c:v>118.99</c:v>
                </c:pt>
                <c:pt idx="220">
                  <c:v>132.03</c:v>
                </c:pt>
                <c:pt idx="221">
                  <c:v>134.01</c:v>
                </c:pt>
                <c:pt idx="222">
                  <c:v>120.91</c:v>
                </c:pt>
                <c:pt idx="223">
                  <c:v>118.6</c:v>
                </c:pt>
                <c:pt idx="224">
                  <c:v>122.46</c:v>
                </c:pt>
                <c:pt idx="225">
                  <c:v>113.22</c:v>
                </c:pt>
                <c:pt idx="226">
                  <c:v>114.68</c:v>
                </c:pt>
                <c:pt idx="227">
                  <c:v>113.92</c:v>
                </c:pt>
                <c:pt idx="228">
                  <c:v>139.84</c:v>
                </c:pt>
                <c:pt idx="229">
                  <c:v>146.97999999999999</c:v>
                </c:pt>
                <c:pt idx="230">
                  <c:v>147.16</c:v>
                </c:pt>
                <c:pt idx="231">
                  <c:v>131.36000000000001</c:v>
                </c:pt>
                <c:pt idx="232">
                  <c:v>131.16999999999999</c:v>
                </c:pt>
                <c:pt idx="233">
                  <c:v>114.98</c:v>
                </c:pt>
                <c:pt idx="234">
                  <c:v>98.96</c:v>
                </c:pt>
                <c:pt idx="235">
                  <c:v>107.25</c:v>
                </c:pt>
                <c:pt idx="236">
                  <c:v>128.31</c:v>
                </c:pt>
                <c:pt idx="237">
                  <c:v>107.38</c:v>
                </c:pt>
                <c:pt idx="238">
                  <c:v>111.41</c:v>
                </c:pt>
                <c:pt idx="239">
                  <c:v>90.25</c:v>
                </c:pt>
                <c:pt idx="240">
                  <c:v>186.11</c:v>
                </c:pt>
                <c:pt idx="241">
                  <c:v>140.52000000000001</c:v>
                </c:pt>
                <c:pt idx="242">
                  <c:v>125.42</c:v>
                </c:pt>
                <c:pt idx="243">
                  <c:v>140.65</c:v>
                </c:pt>
                <c:pt idx="244">
                  <c:v>98.59</c:v>
                </c:pt>
                <c:pt idx="245">
                  <c:v>92.43</c:v>
                </c:pt>
                <c:pt idx="246">
                  <c:v>98.02</c:v>
                </c:pt>
                <c:pt idx="247">
                  <c:v>131.36000000000001</c:v>
                </c:pt>
                <c:pt idx="248">
                  <c:v>144.69</c:v>
                </c:pt>
                <c:pt idx="249">
                  <c:v>88.63</c:v>
                </c:pt>
                <c:pt idx="250">
                  <c:v>99.85</c:v>
                </c:pt>
                <c:pt idx="251">
                  <c:v>113.89</c:v>
                </c:pt>
                <c:pt idx="252">
                  <c:v>147.38999999999999</c:v>
                </c:pt>
                <c:pt idx="253">
                  <c:v>166.75</c:v>
                </c:pt>
                <c:pt idx="254">
                  <c:v>138.29</c:v>
                </c:pt>
                <c:pt idx="255">
                  <c:v>73.11</c:v>
                </c:pt>
                <c:pt idx="256">
                  <c:v>141.66</c:v>
                </c:pt>
                <c:pt idx="257">
                  <c:v>105.21</c:v>
                </c:pt>
                <c:pt idx="258">
                  <c:v>119.07</c:v>
                </c:pt>
                <c:pt idx="259">
                  <c:v>124.32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E4E-4F1C-BD18-E0091D465C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Paros (min)</a:t>
                </a:r>
              </a:p>
            </c:rich>
          </c:tx>
          <c:overlay val="1"/>
        </c:title>
        <c:numFmt formatCode="#,##0.00;[Red]\(#,##0.00\);\-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Volumen producido (t)</a:t>
                </a:r>
              </a:p>
            </c:rich>
          </c:tx>
          <c:overlay val="1"/>
        </c:title>
        <c:numFmt formatCode="#,##0.00;[Red]\(#,##0.00\);\-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Tendencia diaria de OEE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Base_Datos!U1</c:f>
              <c:strCache>
                <c:ptCount val="1"/>
                <c:pt idx="0">
                  <c:v>OEE_pct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Base_Datos!$A$2:$A$61</c:f>
              <c:numCache>
                <c:formatCode>dd/mm/yyyy</c:formatCode>
                <c:ptCount val="60"/>
                <c:pt idx="0">
                  <c:v>45922</c:v>
                </c:pt>
                <c:pt idx="1">
                  <c:v>45923</c:v>
                </c:pt>
                <c:pt idx="2">
                  <c:v>45924</c:v>
                </c:pt>
                <c:pt idx="3">
                  <c:v>45925</c:v>
                </c:pt>
                <c:pt idx="4">
                  <c:v>45926</c:v>
                </c:pt>
                <c:pt idx="5">
                  <c:v>45927</c:v>
                </c:pt>
                <c:pt idx="6">
                  <c:v>45928</c:v>
                </c:pt>
                <c:pt idx="7">
                  <c:v>45929</c:v>
                </c:pt>
                <c:pt idx="8">
                  <c:v>45930</c:v>
                </c:pt>
                <c:pt idx="9">
                  <c:v>45931</c:v>
                </c:pt>
                <c:pt idx="10">
                  <c:v>45932</c:v>
                </c:pt>
                <c:pt idx="11">
                  <c:v>45933</c:v>
                </c:pt>
                <c:pt idx="12">
                  <c:v>45934</c:v>
                </c:pt>
                <c:pt idx="13">
                  <c:v>45935</c:v>
                </c:pt>
                <c:pt idx="14">
                  <c:v>45936</c:v>
                </c:pt>
                <c:pt idx="15">
                  <c:v>45937</c:v>
                </c:pt>
                <c:pt idx="16">
                  <c:v>45938</c:v>
                </c:pt>
                <c:pt idx="17">
                  <c:v>45939</c:v>
                </c:pt>
                <c:pt idx="18">
                  <c:v>45940</c:v>
                </c:pt>
                <c:pt idx="19">
                  <c:v>45941</c:v>
                </c:pt>
                <c:pt idx="20">
                  <c:v>45942</c:v>
                </c:pt>
                <c:pt idx="21">
                  <c:v>45943</c:v>
                </c:pt>
                <c:pt idx="22">
                  <c:v>45944</c:v>
                </c:pt>
                <c:pt idx="23">
                  <c:v>45945</c:v>
                </c:pt>
                <c:pt idx="24">
                  <c:v>45946</c:v>
                </c:pt>
                <c:pt idx="25">
                  <c:v>45947</c:v>
                </c:pt>
                <c:pt idx="26">
                  <c:v>45948</c:v>
                </c:pt>
                <c:pt idx="27">
                  <c:v>45949</c:v>
                </c:pt>
                <c:pt idx="28">
                  <c:v>45950</c:v>
                </c:pt>
                <c:pt idx="29">
                  <c:v>45951</c:v>
                </c:pt>
                <c:pt idx="30">
                  <c:v>45952</c:v>
                </c:pt>
                <c:pt idx="31">
                  <c:v>45953</c:v>
                </c:pt>
                <c:pt idx="32">
                  <c:v>45954</c:v>
                </c:pt>
                <c:pt idx="33">
                  <c:v>45955</c:v>
                </c:pt>
                <c:pt idx="34">
                  <c:v>45956</c:v>
                </c:pt>
                <c:pt idx="35">
                  <c:v>45957</c:v>
                </c:pt>
                <c:pt idx="36">
                  <c:v>45958</c:v>
                </c:pt>
                <c:pt idx="37">
                  <c:v>45959</c:v>
                </c:pt>
                <c:pt idx="38">
                  <c:v>45960</c:v>
                </c:pt>
                <c:pt idx="39">
                  <c:v>45961</c:v>
                </c:pt>
                <c:pt idx="40">
                  <c:v>45962</c:v>
                </c:pt>
                <c:pt idx="41">
                  <c:v>45963</c:v>
                </c:pt>
                <c:pt idx="42">
                  <c:v>45964</c:v>
                </c:pt>
                <c:pt idx="43">
                  <c:v>45965</c:v>
                </c:pt>
                <c:pt idx="44">
                  <c:v>45966</c:v>
                </c:pt>
                <c:pt idx="45">
                  <c:v>45967</c:v>
                </c:pt>
                <c:pt idx="46">
                  <c:v>45968</c:v>
                </c:pt>
                <c:pt idx="47">
                  <c:v>45969</c:v>
                </c:pt>
                <c:pt idx="48">
                  <c:v>45970</c:v>
                </c:pt>
                <c:pt idx="49">
                  <c:v>45971</c:v>
                </c:pt>
                <c:pt idx="50">
                  <c:v>45972</c:v>
                </c:pt>
                <c:pt idx="51">
                  <c:v>45973</c:v>
                </c:pt>
                <c:pt idx="52">
                  <c:v>45974</c:v>
                </c:pt>
                <c:pt idx="53">
                  <c:v>45975</c:v>
                </c:pt>
                <c:pt idx="54">
                  <c:v>45976</c:v>
                </c:pt>
                <c:pt idx="55">
                  <c:v>45977</c:v>
                </c:pt>
                <c:pt idx="56">
                  <c:v>45978</c:v>
                </c:pt>
                <c:pt idx="57">
                  <c:v>45979</c:v>
                </c:pt>
                <c:pt idx="58">
                  <c:v>45980</c:v>
                </c:pt>
                <c:pt idx="59">
                  <c:v>45981</c:v>
                </c:pt>
              </c:numCache>
            </c:numRef>
          </c:cat>
          <c:val>
            <c:numRef>
              <c:f>Base_Datos!$U$2:$U$61</c:f>
              <c:numCache>
                <c:formatCode>0.0%</c:formatCode>
                <c:ptCount val="60"/>
                <c:pt idx="0">
                  <c:v>0.62939999999999996</c:v>
                </c:pt>
                <c:pt idx="1">
                  <c:v>0.90959999999999996</c:v>
                </c:pt>
                <c:pt idx="2">
                  <c:v>0.75509999999999999</c:v>
                </c:pt>
                <c:pt idx="3">
                  <c:v>0.68459999999999999</c:v>
                </c:pt>
                <c:pt idx="4">
                  <c:v>0.70930000000000004</c:v>
                </c:pt>
                <c:pt idx="5">
                  <c:v>0.7056</c:v>
                </c:pt>
                <c:pt idx="6">
                  <c:v>0.79049999999999998</c:v>
                </c:pt>
                <c:pt idx="7">
                  <c:v>0.65529999999999999</c:v>
                </c:pt>
                <c:pt idx="8">
                  <c:v>0.90200000000000002</c:v>
                </c:pt>
                <c:pt idx="9">
                  <c:v>0.71679999999999999</c:v>
                </c:pt>
                <c:pt idx="10">
                  <c:v>0.57120000000000004</c:v>
                </c:pt>
                <c:pt idx="11">
                  <c:v>0.83730000000000004</c:v>
                </c:pt>
                <c:pt idx="12">
                  <c:v>0.86450000000000005</c:v>
                </c:pt>
                <c:pt idx="13">
                  <c:v>0.82440000000000002</c:v>
                </c:pt>
                <c:pt idx="14">
                  <c:v>0.76129999999999998</c:v>
                </c:pt>
                <c:pt idx="15">
                  <c:v>0.75619999999999998</c:v>
                </c:pt>
                <c:pt idx="16">
                  <c:v>0.84199999999999997</c:v>
                </c:pt>
                <c:pt idx="17">
                  <c:v>0.62980000000000003</c:v>
                </c:pt>
                <c:pt idx="18">
                  <c:v>0.82230000000000003</c:v>
                </c:pt>
                <c:pt idx="19">
                  <c:v>0.83709999999999996</c:v>
                </c:pt>
                <c:pt idx="20">
                  <c:v>0.63149999999999995</c:v>
                </c:pt>
                <c:pt idx="21">
                  <c:v>0.80959999999999999</c:v>
                </c:pt>
                <c:pt idx="22">
                  <c:v>0.93600000000000005</c:v>
                </c:pt>
                <c:pt idx="23">
                  <c:v>0.73660000000000003</c:v>
                </c:pt>
                <c:pt idx="24">
                  <c:v>0.75460000000000005</c:v>
                </c:pt>
                <c:pt idx="25">
                  <c:v>0.90439999999999998</c:v>
                </c:pt>
                <c:pt idx="26">
                  <c:v>0.84109999999999996</c:v>
                </c:pt>
                <c:pt idx="27">
                  <c:v>0.74809999999999999</c:v>
                </c:pt>
                <c:pt idx="28">
                  <c:v>0.54369999999999996</c:v>
                </c:pt>
                <c:pt idx="29">
                  <c:v>0.83160000000000001</c:v>
                </c:pt>
                <c:pt idx="30">
                  <c:v>0.75800000000000001</c:v>
                </c:pt>
                <c:pt idx="31">
                  <c:v>0.85070000000000001</c:v>
                </c:pt>
                <c:pt idx="32">
                  <c:v>0.56840000000000002</c:v>
                </c:pt>
                <c:pt idx="33">
                  <c:v>0.85880000000000001</c:v>
                </c:pt>
                <c:pt idx="34">
                  <c:v>0.92520000000000002</c:v>
                </c:pt>
                <c:pt idx="35">
                  <c:v>0.78169999999999995</c:v>
                </c:pt>
                <c:pt idx="36">
                  <c:v>0.81679999999999997</c:v>
                </c:pt>
                <c:pt idx="37">
                  <c:v>0.80569999999999997</c:v>
                </c:pt>
                <c:pt idx="38">
                  <c:v>0.77039999999999997</c:v>
                </c:pt>
                <c:pt idx="39">
                  <c:v>0.79559999999999997</c:v>
                </c:pt>
                <c:pt idx="40">
                  <c:v>0.9083</c:v>
                </c:pt>
                <c:pt idx="41">
                  <c:v>0.6361</c:v>
                </c:pt>
                <c:pt idx="42">
                  <c:v>0.73670000000000002</c:v>
                </c:pt>
                <c:pt idx="43">
                  <c:v>0.69830000000000003</c:v>
                </c:pt>
                <c:pt idx="44">
                  <c:v>0.79600000000000004</c:v>
                </c:pt>
                <c:pt idx="45">
                  <c:v>0.91549999999999998</c:v>
                </c:pt>
                <c:pt idx="46">
                  <c:v>0.76459999999999995</c:v>
                </c:pt>
                <c:pt idx="47">
                  <c:v>0.89670000000000005</c:v>
                </c:pt>
                <c:pt idx="48">
                  <c:v>0.79079999999999995</c:v>
                </c:pt>
                <c:pt idx="49">
                  <c:v>0.55459999999999998</c:v>
                </c:pt>
                <c:pt idx="50">
                  <c:v>0.48930000000000001</c:v>
                </c:pt>
                <c:pt idx="51">
                  <c:v>0.52590000000000003</c:v>
                </c:pt>
                <c:pt idx="52">
                  <c:v>0.78539999999999999</c:v>
                </c:pt>
                <c:pt idx="53">
                  <c:v>0.88959999999999995</c:v>
                </c:pt>
                <c:pt idx="54">
                  <c:v>0.54520000000000002</c:v>
                </c:pt>
                <c:pt idx="55">
                  <c:v>0.90069999999999995</c:v>
                </c:pt>
                <c:pt idx="56">
                  <c:v>0.4108</c:v>
                </c:pt>
                <c:pt idx="57">
                  <c:v>0.78149999999999997</c:v>
                </c:pt>
                <c:pt idx="58">
                  <c:v>0.98060000000000003</c:v>
                </c:pt>
                <c:pt idx="59">
                  <c:v>0.90280000000000005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A85-4CAA-958A-3EB5F9A650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Fecha</a:t>
                </a:r>
              </a:p>
            </c:rich>
          </c:tx>
          <c:overlay val="1"/>
        </c:title>
        <c:numFmt formatCode="dd/mm/yyyy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OEE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</xdr:row>
      <xdr:rowOff>0</xdr:rowOff>
    </xdr:from>
    <xdr:ext cx="504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18</xdr:row>
      <xdr:rowOff>0</xdr:rowOff>
    </xdr:from>
    <xdr:ext cx="504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Eficiencia" displayName="tblEficiencia" ref="A1:AD261">
  <autoFilter ref="A1:AD261" xr:uid="{00000000-0009-0000-0100-000001000000}"/>
  <tableColumns count="30">
    <tableColumn id="1" xr3:uid="{00000000-0010-0000-0000-000001000000}" name="Fecha"/>
    <tableColumn id="2" xr3:uid="{00000000-0010-0000-0000-000002000000}" name="Planta"/>
    <tableColumn id="3" xr3:uid="{00000000-0010-0000-0000-000003000000}" name="Linea"/>
    <tableColumn id="4" xr3:uid="{00000000-0010-0000-0000-000004000000}" name="Turno"/>
    <tableColumn id="5" xr3:uid="{00000000-0010-0000-0000-000005000000}" name="SKU"/>
    <tableColumn id="6" xr3:uid="{00000000-0010-0000-0000-000006000000}" name="Categoria"/>
    <tableColumn id="7" xr3:uid="{00000000-0010-0000-0000-000007000000}" name="Volumen_Programado_t"/>
    <tableColumn id="8" xr3:uid="{00000000-0010-0000-0000-000008000000}" name="Volumen_Producido_t"/>
    <tableColumn id="9" xr3:uid="{00000000-0010-0000-0000-000009000000}" name="Materia_Prima_t"/>
    <tableColumn id="10" xr3:uid="{00000000-0010-0000-0000-00000A000000}" name="Horas_Disponibles"/>
    <tableColumn id="11" xr3:uid="{00000000-0010-0000-0000-00000B000000}" name="Horas_Productivas"/>
    <tableColumn id="12" xr3:uid="{00000000-0010-0000-0000-00000C000000}" name="Paros_min"/>
    <tableColumn id="13" xr3:uid="{00000000-0010-0000-0000-00000D000000}" name="Personal_FTE"/>
    <tableColumn id="14" xr3:uid="{00000000-0010-0000-0000-00000E000000}" name="Horas_Mano_Obra"/>
    <tableColumn id="15" xr3:uid="{00000000-0010-0000-0000-00000F000000}" name="Energia_kWh"/>
    <tableColumn id="16" xr3:uid="{00000000-0010-0000-0000-000010000000}" name="Merma_pct"/>
    <tableColumn id="17" xr3:uid="{00000000-0010-0000-0000-000011000000}" name="Yield_pct"/>
    <tableColumn id="18" xr3:uid="{00000000-0010-0000-0000-000012000000}" name="Reproceso_pct"/>
    <tableColumn id="19" xr3:uid="{00000000-0010-0000-0000-000013000000}" name="Rechazo_Calidad_pct"/>
    <tableColumn id="20" xr3:uid="{00000000-0010-0000-0000-000014000000}" name="Utilizacion_pct"/>
    <tableColumn id="21" xr3:uid="{00000000-0010-0000-0000-000015000000}" name="OEE_pct"/>
    <tableColumn id="22" xr3:uid="{00000000-0010-0000-0000-000016000000}" name="Cumplimiento_Plan_pct"/>
    <tableColumn id="23" xr3:uid="{00000000-0010-0000-0000-000017000000}" name="Eficiencia_Laboral_t_hh"/>
    <tableColumn id="24" xr3:uid="{00000000-0010-0000-0000-000018000000}" name="Costo_MP_MXN"/>
    <tableColumn id="25" xr3:uid="{00000000-0010-0000-0000-000019000000}" name="Costo_MO_MXN"/>
    <tableColumn id="26" xr3:uid="{00000000-0010-0000-0000-00001A000000}" name="Costo_Energia_MXN"/>
    <tableColumn id="27" xr3:uid="{00000000-0010-0000-0000-00001B000000}" name="Costo_Total_MXN"/>
    <tableColumn id="28" xr3:uid="{00000000-0010-0000-0000-00001C000000}" name="Costo_por_t_MXN"/>
    <tableColumn id="29" xr3:uid="{00000000-0010-0000-0000-00001D000000}" name="Lote"/>
    <tableColumn id="30" xr3:uid="{00000000-0010-0000-0000-00001E000000}" name="Observac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61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6" width="12" customWidth="1"/>
    <col min="7" max="7" width="22" customWidth="1"/>
    <col min="8" max="8" width="21" customWidth="1"/>
    <col min="9" max="9" width="17" customWidth="1"/>
    <col min="10" max="11" width="19" customWidth="1"/>
    <col min="12" max="12" width="12" customWidth="1"/>
    <col min="13" max="13" width="14" customWidth="1"/>
    <col min="14" max="14" width="17" customWidth="1"/>
    <col min="15" max="15" width="13" customWidth="1"/>
    <col min="16" max="17" width="12" customWidth="1"/>
    <col min="18" max="18" width="15" customWidth="1"/>
    <col min="19" max="19" width="21" customWidth="1"/>
    <col min="20" max="20" width="17" customWidth="1"/>
    <col min="21" max="21" width="12" customWidth="1"/>
    <col min="22" max="22" width="23" customWidth="1"/>
    <col min="23" max="23" width="24" customWidth="1"/>
    <col min="24" max="25" width="14" customWidth="1"/>
    <col min="26" max="26" width="19" customWidth="1"/>
    <col min="27" max="28" width="17" customWidth="1"/>
    <col min="29" max="29" width="12" customWidth="1"/>
    <col min="30" max="30" width="13" customWidth="1"/>
  </cols>
  <sheetData>
    <row r="1" spans="1:30" ht="33.95000000000000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s="2">
        <v>45922</v>
      </c>
      <c r="B2" s="3" t="s">
        <v>30</v>
      </c>
      <c r="C2" s="3" t="s">
        <v>31</v>
      </c>
      <c r="D2" s="3" t="s">
        <v>32</v>
      </c>
      <c r="E2" s="3" t="s">
        <v>33</v>
      </c>
      <c r="F2" s="3" t="s">
        <v>34</v>
      </c>
      <c r="G2" s="4">
        <v>89.39</v>
      </c>
      <c r="H2" s="4">
        <v>83.65</v>
      </c>
      <c r="I2" s="4">
        <v>90.15</v>
      </c>
      <c r="J2" s="4">
        <v>7.28</v>
      </c>
      <c r="K2" s="4">
        <v>6.69</v>
      </c>
      <c r="L2" s="4">
        <v>35.5</v>
      </c>
      <c r="M2" s="4">
        <v>16.5</v>
      </c>
      <c r="N2" s="4">
        <v>110.42</v>
      </c>
      <c r="O2" s="4">
        <v>1828.2</v>
      </c>
      <c r="P2" s="5">
        <v>7.22E-2</v>
      </c>
      <c r="Q2" s="5">
        <v>0.92779999999999996</v>
      </c>
      <c r="R2" s="5">
        <v>3.0099999999999998E-2</v>
      </c>
      <c r="S2" s="5">
        <v>1.5900000000000001E-2</v>
      </c>
      <c r="T2" s="5">
        <v>0.74390000000000001</v>
      </c>
      <c r="U2" s="5">
        <v>0.62939999999999996</v>
      </c>
      <c r="V2" s="5">
        <v>0.93569999999999998</v>
      </c>
      <c r="W2" s="4">
        <v>0.75749999999999995</v>
      </c>
      <c r="X2" s="6">
        <v>64488.14</v>
      </c>
      <c r="Y2" s="6">
        <v>17217.72</v>
      </c>
      <c r="Z2" s="6">
        <v>4340.16</v>
      </c>
      <c r="AA2" s="6">
        <v>89118.98</v>
      </c>
      <c r="AB2" s="6">
        <v>1065.44</v>
      </c>
      <c r="AC2" s="3" t="s">
        <v>35</v>
      </c>
      <c r="AD2" s="3" t="s">
        <v>36</v>
      </c>
    </row>
    <row r="3" spans="1:30">
      <c r="A3" s="2">
        <v>45923</v>
      </c>
      <c r="B3" s="3" t="s">
        <v>30</v>
      </c>
      <c r="C3" s="3" t="s">
        <v>37</v>
      </c>
      <c r="D3" s="3" t="s">
        <v>38</v>
      </c>
      <c r="E3" s="3" t="s">
        <v>39</v>
      </c>
      <c r="F3" s="3" t="s">
        <v>40</v>
      </c>
      <c r="G3" s="4">
        <v>94.09</v>
      </c>
      <c r="H3" s="4">
        <v>107.76</v>
      </c>
      <c r="I3" s="4">
        <v>111.51</v>
      </c>
      <c r="J3" s="4">
        <v>7.71</v>
      </c>
      <c r="K3" s="4">
        <v>7.61</v>
      </c>
      <c r="L3" s="4">
        <v>6.1</v>
      </c>
      <c r="M3" s="4">
        <v>18</v>
      </c>
      <c r="N3" s="4">
        <v>137.38999999999999</v>
      </c>
      <c r="O3" s="4">
        <v>1935.7</v>
      </c>
      <c r="P3" s="5">
        <v>3.3599999999999998E-2</v>
      </c>
      <c r="Q3" s="5">
        <v>0.96640000000000004</v>
      </c>
      <c r="R3" s="5">
        <v>4.6399999999999997E-2</v>
      </c>
      <c r="S3" s="5">
        <v>1.5299999999999999E-2</v>
      </c>
      <c r="T3" s="5">
        <v>0.89159999999999995</v>
      </c>
      <c r="U3" s="5">
        <v>0.90959999999999996</v>
      </c>
      <c r="V3" s="5">
        <v>1.1453</v>
      </c>
      <c r="W3" s="4">
        <v>0.78439999999999999</v>
      </c>
      <c r="X3" s="6">
        <v>74581.91</v>
      </c>
      <c r="Y3" s="6">
        <v>20844.7</v>
      </c>
      <c r="Z3" s="6">
        <v>4015.03</v>
      </c>
      <c r="AA3" s="6">
        <v>103980.61</v>
      </c>
      <c r="AB3" s="6">
        <v>964.89</v>
      </c>
      <c r="AC3" s="3" t="s">
        <v>41</v>
      </c>
      <c r="AD3" s="3" t="s">
        <v>36</v>
      </c>
    </row>
    <row r="4" spans="1:30">
      <c r="A4" s="2">
        <v>45924</v>
      </c>
      <c r="B4" s="3" t="s">
        <v>30</v>
      </c>
      <c r="C4" s="3" t="s">
        <v>42</v>
      </c>
      <c r="D4" s="3" t="s">
        <v>32</v>
      </c>
      <c r="E4" s="3" t="s">
        <v>43</v>
      </c>
      <c r="F4" s="3" t="s">
        <v>40</v>
      </c>
      <c r="G4" s="4">
        <v>58.44</v>
      </c>
      <c r="H4" s="4">
        <v>134.80000000000001</v>
      </c>
      <c r="I4" s="4">
        <v>140.75</v>
      </c>
      <c r="J4" s="4">
        <v>8.08</v>
      </c>
      <c r="K4" s="4">
        <v>7.98</v>
      </c>
      <c r="L4" s="4">
        <v>6.3</v>
      </c>
      <c r="M4" s="4">
        <v>14.6</v>
      </c>
      <c r="N4" s="4">
        <v>116.17</v>
      </c>
      <c r="O4" s="4">
        <v>2178.5</v>
      </c>
      <c r="P4" s="5">
        <v>4.2299999999999997E-2</v>
      </c>
      <c r="Q4" s="5">
        <v>0.9577</v>
      </c>
      <c r="R4" s="5">
        <v>1.4E-2</v>
      </c>
      <c r="S4" s="5">
        <v>9.5999999999999992E-3</v>
      </c>
      <c r="T4" s="5">
        <v>0.73570000000000002</v>
      </c>
      <c r="U4" s="5">
        <v>0.75509999999999999</v>
      </c>
      <c r="V4" s="5">
        <v>2.3068</v>
      </c>
      <c r="W4" s="4">
        <v>1.1604000000000001</v>
      </c>
      <c r="X4" s="6">
        <v>99284.25</v>
      </c>
      <c r="Y4" s="6">
        <v>21224.880000000001</v>
      </c>
      <c r="Z4" s="6">
        <v>5840.09</v>
      </c>
      <c r="AA4" s="6">
        <v>129705.58</v>
      </c>
      <c r="AB4" s="6">
        <v>962.22</v>
      </c>
      <c r="AC4" s="3" t="s">
        <v>44</v>
      </c>
      <c r="AD4" s="3" t="s">
        <v>36</v>
      </c>
    </row>
    <row r="5" spans="1:30">
      <c r="A5" s="2">
        <v>45925</v>
      </c>
      <c r="B5" s="3" t="s">
        <v>30</v>
      </c>
      <c r="C5" s="3" t="s">
        <v>31</v>
      </c>
      <c r="D5" s="3" t="s">
        <v>45</v>
      </c>
      <c r="E5" s="3" t="s">
        <v>46</v>
      </c>
      <c r="F5" s="3" t="s">
        <v>47</v>
      </c>
      <c r="G5" s="4">
        <v>84.48</v>
      </c>
      <c r="H5" s="4">
        <v>88.19</v>
      </c>
      <c r="I5" s="4">
        <v>93.43</v>
      </c>
      <c r="J5" s="4">
        <v>7.26</v>
      </c>
      <c r="K5" s="4">
        <v>7.18</v>
      </c>
      <c r="L5" s="4">
        <v>5.3</v>
      </c>
      <c r="M5" s="4">
        <v>14.9</v>
      </c>
      <c r="N5" s="4">
        <v>106.81</v>
      </c>
      <c r="O5" s="4">
        <v>1604.9</v>
      </c>
      <c r="P5" s="5">
        <v>5.6000000000000001E-2</v>
      </c>
      <c r="Q5" s="5">
        <v>0.94399999999999995</v>
      </c>
      <c r="R5" s="5">
        <v>1.4E-2</v>
      </c>
      <c r="S5" s="5">
        <v>8.5000000000000006E-3</v>
      </c>
      <c r="T5" s="5">
        <v>0.66949999999999998</v>
      </c>
      <c r="U5" s="5">
        <v>0.68459999999999999</v>
      </c>
      <c r="V5" s="5">
        <v>1.0439000000000001</v>
      </c>
      <c r="W5" s="4">
        <v>0.82569999999999999</v>
      </c>
      <c r="X5" s="6">
        <v>71687.839999999997</v>
      </c>
      <c r="Y5" s="6">
        <v>19923.47</v>
      </c>
      <c r="Z5" s="6">
        <v>4283.43</v>
      </c>
      <c r="AA5" s="6">
        <v>100402.81</v>
      </c>
      <c r="AB5" s="6">
        <v>1138.42</v>
      </c>
      <c r="AC5" s="3" t="s">
        <v>48</v>
      </c>
      <c r="AD5" s="3" t="s">
        <v>49</v>
      </c>
    </row>
    <row r="6" spans="1:30">
      <c r="A6" s="2">
        <v>45926</v>
      </c>
      <c r="B6" s="3" t="s">
        <v>30</v>
      </c>
      <c r="C6" s="3" t="s">
        <v>37</v>
      </c>
      <c r="D6" s="3" t="s">
        <v>32</v>
      </c>
      <c r="E6" s="3" t="s">
        <v>39</v>
      </c>
      <c r="F6" s="3" t="s">
        <v>40</v>
      </c>
      <c r="G6" s="4">
        <v>96.08</v>
      </c>
      <c r="H6" s="4">
        <v>95.41</v>
      </c>
      <c r="I6" s="4">
        <v>102.26</v>
      </c>
      <c r="J6" s="4">
        <v>7.21</v>
      </c>
      <c r="K6" s="4">
        <v>7.04</v>
      </c>
      <c r="L6" s="4">
        <v>10.4</v>
      </c>
      <c r="M6" s="4">
        <v>17.399999999999999</v>
      </c>
      <c r="N6" s="4">
        <v>122.65</v>
      </c>
      <c r="O6" s="4">
        <v>1748.8</v>
      </c>
      <c r="P6" s="5">
        <v>6.6900000000000001E-2</v>
      </c>
      <c r="Q6" s="5">
        <v>0.93310000000000004</v>
      </c>
      <c r="R6" s="5">
        <v>1.89E-2</v>
      </c>
      <c r="S6" s="5">
        <v>8.5000000000000006E-3</v>
      </c>
      <c r="T6" s="5">
        <v>0.73819999999999997</v>
      </c>
      <c r="U6" s="5">
        <v>0.70930000000000004</v>
      </c>
      <c r="V6" s="5">
        <v>0.99299999999999999</v>
      </c>
      <c r="W6" s="4">
        <v>0.77790000000000004</v>
      </c>
      <c r="X6" s="6">
        <v>72087.88</v>
      </c>
      <c r="Y6" s="6">
        <v>21951.07</v>
      </c>
      <c r="Z6" s="6">
        <v>4278.4799999999996</v>
      </c>
      <c r="AA6" s="6">
        <v>105128.49</v>
      </c>
      <c r="AB6" s="6">
        <v>1101.8399999999999</v>
      </c>
      <c r="AC6" s="3" t="s">
        <v>50</v>
      </c>
      <c r="AD6" s="3" t="s">
        <v>36</v>
      </c>
    </row>
    <row r="7" spans="1:30">
      <c r="A7" s="2">
        <v>45927</v>
      </c>
      <c r="B7" s="3" t="s">
        <v>30</v>
      </c>
      <c r="C7" s="3" t="s">
        <v>51</v>
      </c>
      <c r="D7" s="3" t="s">
        <v>32</v>
      </c>
      <c r="E7" s="3" t="s">
        <v>52</v>
      </c>
      <c r="F7" s="3" t="s">
        <v>47</v>
      </c>
      <c r="G7" s="4">
        <v>79.77</v>
      </c>
      <c r="H7" s="4">
        <v>109.54</v>
      </c>
      <c r="I7" s="4">
        <v>114.77</v>
      </c>
      <c r="J7" s="4">
        <v>8.24</v>
      </c>
      <c r="K7" s="4">
        <v>7.76</v>
      </c>
      <c r="L7" s="4">
        <v>29.1</v>
      </c>
      <c r="M7" s="4">
        <v>18.8</v>
      </c>
      <c r="N7" s="4">
        <v>145.58000000000001</v>
      </c>
      <c r="O7" s="4">
        <v>2104.5</v>
      </c>
      <c r="P7" s="5">
        <v>4.5499999999999999E-2</v>
      </c>
      <c r="Q7" s="5">
        <v>0.95450000000000002</v>
      </c>
      <c r="R7" s="5">
        <v>3.8300000000000001E-2</v>
      </c>
      <c r="S7" s="5">
        <v>8.3999999999999995E-3</v>
      </c>
      <c r="T7" s="5">
        <v>0.72</v>
      </c>
      <c r="U7" s="5">
        <v>0.7056</v>
      </c>
      <c r="V7" s="5">
        <v>1.3731</v>
      </c>
      <c r="W7" s="4">
        <v>0.75239999999999996</v>
      </c>
      <c r="X7" s="6">
        <v>96040.34</v>
      </c>
      <c r="Y7" s="6">
        <v>28098.46</v>
      </c>
      <c r="Z7" s="6">
        <v>5078.8999999999996</v>
      </c>
      <c r="AA7" s="6">
        <v>134024.73000000001</v>
      </c>
      <c r="AB7" s="6">
        <v>1223.54</v>
      </c>
      <c r="AC7" s="3" t="s">
        <v>53</v>
      </c>
      <c r="AD7" s="3" t="s">
        <v>36</v>
      </c>
    </row>
    <row r="8" spans="1:30">
      <c r="A8" s="2">
        <v>45928</v>
      </c>
      <c r="B8" s="3" t="s">
        <v>30</v>
      </c>
      <c r="C8" s="3" t="s">
        <v>31</v>
      </c>
      <c r="D8" s="3" t="s">
        <v>45</v>
      </c>
      <c r="E8" s="3" t="s">
        <v>52</v>
      </c>
      <c r="F8" s="3" t="s">
        <v>47</v>
      </c>
      <c r="G8" s="4">
        <v>114.06</v>
      </c>
      <c r="H8" s="4">
        <v>108.43</v>
      </c>
      <c r="I8" s="4">
        <v>113.02</v>
      </c>
      <c r="J8" s="4">
        <v>7.59</v>
      </c>
      <c r="K8" s="4">
        <v>7.13</v>
      </c>
      <c r="L8" s="4">
        <v>27.8</v>
      </c>
      <c r="M8" s="4">
        <v>18.2</v>
      </c>
      <c r="N8" s="4">
        <v>130.08000000000001</v>
      </c>
      <c r="O8" s="4">
        <v>2134.3000000000002</v>
      </c>
      <c r="P8" s="5">
        <v>4.0599999999999997E-2</v>
      </c>
      <c r="Q8" s="5">
        <v>0.95940000000000003</v>
      </c>
      <c r="R8" s="5">
        <v>2.8799999999999999E-2</v>
      </c>
      <c r="S8" s="5">
        <v>2.0299999999999999E-2</v>
      </c>
      <c r="T8" s="5">
        <v>0.90400000000000003</v>
      </c>
      <c r="U8" s="5">
        <v>0.79049999999999998</v>
      </c>
      <c r="V8" s="5">
        <v>0.9506</v>
      </c>
      <c r="W8" s="4">
        <v>0.83360000000000001</v>
      </c>
      <c r="X8" s="6">
        <v>86101.58</v>
      </c>
      <c r="Y8" s="6">
        <v>20350.22</v>
      </c>
      <c r="Z8" s="6">
        <v>5430.58</v>
      </c>
      <c r="AA8" s="6">
        <v>116820.83</v>
      </c>
      <c r="AB8" s="6">
        <v>1077.42</v>
      </c>
      <c r="AC8" s="3" t="s">
        <v>54</v>
      </c>
      <c r="AD8" s="3" t="s">
        <v>49</v>
      </c>
    </row>
    <row r="9" spans="1:30">
      <c r="A9" s="2">
        <v>45929</v>
      </c>
      <c r="B9" s="3" t="s">
        <v>30</v>
      </c>
      <c r="C9" s="3" t="s">
        <v>31</v>
      </c>
      <c r="D9" s="3" t="s">
        <v>32</v>
      </c>
      <c r="E9" s="3" t="s">
        <v>39</v>
      </c>
      <c r="F9" s="3" t="s">
        <v>40</v>
      </c>
      <c r="G9" s="4">
        <v>146.52000000000001</v>
      </c>
      <c r="H9" s="4">
        <v>134.52000000000001</v>
      </c>
      <c r="I9" s="4">
        <v>144.05000000000001</v>
      </c>
      <c r="J9" s="4">
        <v>8.26</v>
      </c>
      <c r="K9" s="4">
        <v>7.98</v>
      </c>
      <c r="L9" s="4">
        <v>16.600000000000001</v>
      </c>
      <c r="M9" s="4">
        <v>15.9</v>
      </c>
      <c r="N9" s="4">
        <v>127.01</v>
      </c>
      <c r="O9" s="4">
        <v>2221.5</v>
      </c>
      <c r="P9" s="5">
        <v>6.6100000000000006E-2</v>
      </c>
      <c r="Q9" s="5">
        <v>0.93389999999999995</v>
      </c>
      <c r="R9" s="5">
        <v>2.4799999999999999E-2</v>
      </c>
      <c r="S9" s="5">
        <v>6.4999999999999997E-3</v>
      </c>
      <c r="T9" s="5">
        <v>0.74339999999999995</v>
      </c>
      <c r="U9" s="5">
        <v>0.65529999999999999</v>
      </c>
      <c r="V9" s="5">
        <v>0.91810000000000003</v>
      </c>
      <c r="W9" s="4">
        <v>1.0591999999999999</v>
      </c>
      <c r="X9" s="6">
        <v>99395.35</v>
      </c>
      <c r="Y9" s="6">
        <v>21483.81</v>
      </c>
      <c r="Z9" s="6">
        <v>4508.41</v>
      </c>
      <c r="AA9" s="6">
        <v>131610.41</v>
      </c>
      <c r="AB9" s="6">
        <v>978.36</v>
      </c>
      <c r="AC9" s="3" t="s">
        <v>55</v>
      </c>
      <c r="AD9" s="3" t="s">
        <v>56</v>
      </c>
    </row>
    <row r="10" spans="1:30">
      <c r="A10" s="2">
        <v>45930</v>
      </c>
      <c r="B10" s="3" t="s">
        <v>30</v>
      </c>
      <c r="C10" s="3" t="s">
        <v>37</v>
      </c>
      <c r="D10" s="3" t="s">
        <v>38</v>
      </c>
      <c r="E10" s="3" t="s">
        <v>46</v>
      </c>
      <c r="F10" s="3" t="s">
        <v>47</v>
      </c>
      <c r="G10" s="4">
        <v>70.33</v>
      </c>
      <c r="H10" s="4">
        <v>133.5</v>
      </c>
      <c r="I10" s="4">
        <v>142.69999999999999</v>
      </c>
      <c r="J10" s="4">
        <v>7.52</v>
      </c>
      <c r="K10" s="4">
        <v>7.18</v>
      </c>
      <c r="L10" s="4">
        <v>20.3</v>
      </c>
      <c r="M10" s="4">
        <v>12.6</v>
      </c>
      <c r="N10" s="4">
        <v>90.64</v>
      </c>
      <c r="O10" s="4">
        <v>2443.4</v>
      </c>
      <c r="P10" s="5">
        <v>6.4500000000000002E-2</v>
      </c>
      <c r="Q10" s="5">
        <v>0.9355</v>
      </c>
      <c r="R10" s="5">
        <v>3.5700000000000003E-2</v>
      </c>
      <c r="S10" s="5">
        <v>1.2699999999999999E-2</v>
      </c>
      <c r="T10" s="5">
        <v>0.91110000000000002</v>
      </c>
      <c r="U10" s="5">
        <v>0.90200000000000002</v>
      </c>
      <c r="V10" s="5">
        <v>1.8979999999999999</v>
      </c>
      <c r="W10" s="4">
        <v>1.4729000000000001</v>
      </c>
      <c r="X10" s="6">
        <v>88683.86</v>
      </c>
      <c r="Y10" s="6">
        <v>14825.55</v>
      </c>
      <c r="Z10" s="6">
        <v>5226.84</v>
      </c>
      <c r="AA10" s="6">
        <v>112015.2</v>
      </c>
      <c r="AB10" s="6">
        <v>839.08</v>
      </c>
      <c r="AC10" s="3" t="s">
        <v>57</v>
      </c>
      <c r="AD10" s="3" t="s">
        <v>36</v>
      </c>
    </row>
    <row r="11" spans="1:30">
      <c r="A11" s="2">
        <v>45931</v>
      </c>
      <c r="B11" s="3" t="s">
        <v>30</v>
      </c>
      <c r="C11" s="3" t="s">
        <v>37</v>
      </c>
      <c r="D11" s="3" t="s">
        <v>45</v>
      </c>
      <c r="E11" s="3" t="s">
        <v>46</v>
      </c>
      <c r="F11" s="3" t="s">
        <v>47</v>
      </c>
      <c r="G11" s="4">
        <v>121.21</v>
      </c>
      <c r="H11" s="4">
        <v>104.2</v>
      </c>
      <c r="I11" s="4">
        <v>106.86</v>
      </c>
      <c r="J11" s="4">
        <v>7.92</v>
      </c>
      <c r="K11" s="4">
        <v>7.87</v>
      </c>
      <c r="L11" s="4">
        <v>3.3</v>
      </c>
      <c r="M11" s="4">
        <v>15.2</v>
      </c>
      <c r="N11" s="4">
        <v>119.39</v>
      </c>
      <c r="O11" s="4">
        <v>1866.2</v>
      </c>
      <c r="P11" s="5">
        <v>2.4899999999999999E-2</v>
      </c>
      <c r="Q11" s="5">
        <v>0.97509999999999997</v>
      </c>
      <c r="R11" s="5">
        <v>2.2599999999999999E-2</v>
      </c>
      <c r="S11" s="5">
        <v>1.5599999999999999E-2</v>
      </c>
      <c r="T11" s="5">
        <v>0.85289999999999999</v>
      </c>
      <c r="U11" s="5">
        <v>0.71679999999999999</v>
      </c>
      <c r="V11" s="5">
        <v>0.85970000000000002</v>
      </c>
      <c r="W11" s="4">
        <v>0.87280000000000002</v>
      </c>
      <c r="X11" s="6">
        <v>77057.11</v>
      </c>
      <c r="Y11" s="6">
        <v>20491.599999999999</v>
      </c>
      <c r="Z11" s="6">
        <v>4269.96</v>
      </c>
      <c r="AA11" s="6">
        <v>104548.5</v>
      </c>
      <c r="AB11" s="6">
        <v>1003.35</v>
      </c>
      <c r="AC11" s="3" t="s">
        <v>58</v>
      </c>
      <c r="AD11" s="3" t="s">
        <v>59</v>
      </c>
    </row>
    <row r="12" spans="1:30">
      <c r="A12" s="2">
        <v>45932</v>
      </c>
      <c r="B12" s="3" t="s">
        <v>30</v>
      </c>
      <c r="C12" s="3" t="s">
        <v>37</v>
      </c>
      <c r="D12" s="3" t="s">
        <v>32</v>
      </c>
      <c r="E12" s="3" t="s">
        <v>43</v>
      </c>
      <c r="F12" s="3" t="s">
        <v>40</v>
      </c>
      <c r="G12" s="4">
        <v>108.09</v>
      </c>
      <c r="H12" s="4">
        <v>90.29</v>
      </c>
      <c r="I12" s="4">
        <v>94.47</v>
      </c>
      <c r="J12" s="4">
        <v>7.51</v>
      </c>
      <c r="K12" s="4">
        <v>7.45</v>
      </c>
      <c r="L12" s="4">
        <v>3.3</v>
      </c>
      <c r="M12" s="4">
        <v>17</v>
      </c>
      <c r="N12" s="4">
        <v>126.72</v>
      </c>
      <c r="O12" s="4">
        <v>1790.6</v>
      </c>
      <c r="P12" s="5">
        <v>4.4299999999999999E-2</v>
      </c>
      <c r="Q12" s="5">
        <v>0.95569999999999999</v>
      </c>
      <c r="R12" s="5">
        <v>2.1600000000000001E-2</v>
      </c>
      <c r="S12" s="5">
        <v>1.49E-2</v>
      </c>
      <c r="T12" s="5">
        <v>0.69920000000000004</v>
      </c>
      <c r="U12" s="5">
        <v>0.57120000000000004</v>
      </c>
      <c r="V12" s="5">
        <v>0.83530000000000004</v>
      </c>
      <c r="W12" s="4">
        <v>0.71250000000000002</v>
      </c>
      <c r="X12" s="6">
        <v>78164.75</v>
      </c>
      <c r="Y12" s="6">
        <v>23132.04</v>
      </c>
      <c r="Z12" s="6">
        <v>4276.72</v>
      </c>
      <c r="AA12" s="6">
        <v>108786.08</v>
      </c>
      <c r="AB12" s="6">
        <v>1204.8900000000001</v>
      </c>
      <c r="AC12" s="3" t="s">
        <v>60</v>
      </c>
      <c r="AD12" s="3" t="s">
        <v>36</v>
      </c>
    </row>
    <row r="13" spans="1:30">
      <c r="A13" s="2">
        <v>45933</v>
      </c>
      <c r="B13" s="3" t="s">
        <v>30</v>
      </c>
      <c r="C13" s="3" t="s">
        <v>51</v>
      </c>
      <c r="D13" s="3" t="s">
        <v>32</v>
      </c>
      <c r="E13" s="3" t="s">
        <v>39</v>
      </c>
      <c r="F13" s="3" t="s">
        <v>40</v>
      </c>
      <c r="G13" s="4">
        <v>70.7</v>
      </c>
      <c r="H13" s="4">
        <v>134.41</v>
      </c>
      <c r="I13" s="4">
        <v>141.16999999999999</v>
      </c>
      <c r="J13" s="4">
        <v>7.26</v>
      </c>
      <c r="K13" s="4">
        <v>6.99</v>
      </c>
      <c r="L13" s="4">
        <v>16</v>
      </c>
      <c r="M13" s="4">
        <v>15.7</v>
      </c>
      <c r="N13" s="4">
        <v>109.64</v>
      </c>
      <c r="O13" s="4">
        <v>2341.6</v>
      </c>
      <c r="P13" s="5">
        <v>4.7899999999999998E-2</v>
      </c>
      <c r="Q13" s="5">
        <v>0.95209999999999995</v>
      </c>
      <c r="R13" s="5">
        <v>1.9E-2</v>
      </c>
      <c r="S13" s="5">
        <v>1.9800000000000002E-2</v>
      </c>
      <c r="T13" s="5">
        <v>0.84450000000000003</v>
      </c>
      <c r="U13" s="5">
        <v>0.83730000000000004</v>
      </c>
      <c r="V13" s="5">
        <v>1.9011</v>
      </c>
      <c r="W13" s="4">
        <v>1.2259</v>
      </c>
      <c r="X13" s="6">
        <v>96507.15</v>
      </c>
      <c r="Y13" s="6">
        <v>19791.52</v>
      </c>
      <c r="Z13" s="6">
        <v>5547.03</v>
      </c>
      <c r="AA13" s="6">
        <v>128286.05</v>
      </c>
      <c r="AB13" s="6">
        <v>954.41</v>
      </c>
      <c r="AC13" s="3" t="s">
        <v>61</v>
      </c>
      <c r="AD13" s="3" t="s">
        <v>36</v>
      </c>
    </row>
    <row r="14" spans="1:30">
      <c r="A14" s="2">
        <v>45934</v>
      </c>
      <c r="B14" s="3" t="s">
        <v>30</v>
      </c>
      <c r="C14" s="3" t="s">
        <v>42</v>
      </c>
      <c r="D14" s="3" t="s">
        <v>45</v>
      </c>
      <c r="E14" s="3" t="s">
        <v>62</v>
      </c>
      <c r="F14" s="3" t="s">
        <v>63</v>
      </c>
      <c r="G14" s="4">
        <v>131.91</v>
      </c>
      <c r="H14" s="4">
        <v>162.55000000000001</v>
      </c>
      <c r="I14" s="4">
        <v>174.31</v>
      </c>
      <c r="J14" s="4">
        <v>8.26</v>
      </c>
      <c r="K14" s="4">
        <v>8.1</v>
      </c>
      <c r="L14" s="4">
        <v>9.1999999999999993</v>
      </c>
      <c r="M14" s="4">
        <v>15.1</v>
      </c>
      <c r="N14" s="4">
        <v>122.16</v>
      </c>
      <c r="O14" s="4">
        <v>2512.4</v>
      </c>
      <c r="P14" s="5">
        <v>6.7400000000000002E-2</v>
      </c>
      <c r="Q14" s="5">
        <v>0.93259999999999998</v>
      </c>
      <c r="R14" s="5">
        <v>2.8899999999999999E-2</v>
      </c>
      <c r="S14" s="5">
        <v>6.1999999999999998E-3</v>
      </c>
      <c r="T14" s="5">
        <v>0.84419999999999995</v>
      </c>
      <c r="U14" s="5">
        <v>0.86450000000000005</v>
      </c>
      <c r="V14" s="5">
        <v>1.2323</v>
      </c>
      <c r="W14" s="4">
        <v>1.3306</v>
      </c>
      <c r="X14" s="6">
        <v>109540.2</v>
      </c>
      <c r="Y14" s="6">
        <v>21602.31</v>
      </c>
      <c r="Z14" s="6">
        <v>5117.5600000000004</v>
      </c>
      <c r="AA14" s="6">
        <v>138865.96</v>
      </c>
      <c r="AB14" s="6">
        <v>854.28</v>
      </c>
      <c r="AC14" s="3" t="s">
        <v>64</v>
      </c>
      <c r="AD14" s="3" t="s">
        <v>36</v>
      </c>
    </row>
    <row r="15" spans="1:30">
      <c r="A15" s="2">
        <v>45935</v>
      </c>
      <c r="B15" s="3" t="s">
        <v>30</v>
      </c>
      <c r="C15" s="3" t="s">
        <v>37</v>
      </c>
      <c r="D15" s="3" t="s">
        <v>45</v>
      </c>
      <c r="E15" s="3" t="s">
        <v>52</v>
      </c>
      <c r="F15" s="3" t="s">
        <v>47</v>
      </c>
      <c r="G15" s="4">
        <v>93.26</v>
      </c>
      <c r="H15" s="4">
        <v>97.93</v>
      </c>
      <c r="I15" s="4">
        <v>101.71</v>
      </c>
      <c r="J15" s="4">
        <v>7.85</v>
      </c>
      <c r="K15" s="4">
        <v>7.77</v>
      </c>
      <c r="L15" s="4">
        <v>5.0999999999999996</v>
      </c>
      <c r="M15" s="4">
        <v>18.3</v>
      </c>
      <c r="N15" s="4">
        <v>141.83000000000001</v>
      </c>
      <c r="O15" s="4">
        <v>1687.7</v>
      </c>
      <c r="P15" s="5">
        <v>3.7199999999999997E-2</v>
      </c>
      <c r="Q15" s="5">
        <v>0.96279999999999999</v>
      </c>
      <c r="R15" s="5">
        <v>2.5700000000000001E-2</v>
      </c>
      <c r="S15" s="5">
        <v>1.46E-2</v>
      </c>
      <c r="T15" s="5">
        <v>0.80549999999999999</v>
      </c>
      <c r="U15" s="5">
        <v>0.82440000000000002</v>
      </c>
      <c r="V15" s="5">
        <v>1.0501</v>
      </c>
      <c r="W15" s="4">
        <v>0.6905</v>
      </c>
      <c r="X15" s="6">
        <v>63575.08</v>
      </c>
      <c r="Y15" s="6">
        <v>27433.94</v>
      </c>
      <c r="Z15" s="6">
        <v>4381.46</v>
      </c>
      <c r="AA15" s="6">
        <v>101501.72</v>
      </c>
      <c r="AB15" s="6">
        <v>1036.47</v>
      </c>
      <c r="AC15" s="3" t="s">
        <v>65</v>
      </c>
      <c r="AD15" s="3" t="s">
        <v>36</v>
      </c>
    </row>
    <row r="16" spans="1:30">
      <c r="A16" s="2">
        <v>45936</v>
      </c>
      <c r="B16" s="3" t="s">
        <v>30</v>
      </c>
      <c r="C16" s="3" t="s">
        <v>31</v>
      </c>
      <c r="D16" s="3" t="s">
        <v>32</v>
      </c>
      <c r="E16" s="3" t="s">
        <v>46</v>
      </c>
      <c r="F16" s="3" t="s">
        <v>47</v>
      </c>
      <c r="G16" s="4">
        <v>101.42</v>
      </c>
      <c r="H16" s="4">
        <v>131.85</v>
      </c>
      <c r="I16" s="4">
        <v>138.84</v>
      </c>
      <c r="J16" s="4">
        <v>8.1999999999999993</v>
      </c>
      <c r="K16" s="4">
        <v>7.97</v>
      </c>
      <c r="L16" s="4">
        <v>13.8</v>
      </c>
      <c r="M16" s="4">
        <v>15.8</v>
      </c>
      <c r="N16" s="4">
        <v>125.61</v>
      </c>
      <c r="O16" s="4">
        <v>2257.6</v>
      </c>
      <c r="P16" s="5">
        <v>5.04E-2</v>
      </c>
      <c r="Q16" s="5">
        <v>0.9496</v>
      </c>
      <c r="R16" s="5">
        <v>4.2500000000000003E-2</v>
      </c>
      <c r="S16" s="5">
        <v>1.5299999999999999E-2</v>
      </c>
      <c r="T16" s="5">
        <v>0.75760000000000005</v>
      </c>
      <c r="U16" s="5">
        <v>0.76129999999999998</v>
      </c>
      <c r="V16" s="5">
        <v>1.3</v>
      </c>
      <c r="W16" s="4">
        <v>1.0497000000000001</v>
      </c>
      <c r="X16" s="6">
        <v>122106.56</v>
      </c>
      <c r="Y16" s="6">
        <v>19165.87</v>
      </c>
      <c r="Z16" s="6">
        <v>5492.11</v>
      </c>
      <c r="AA16" s="6">
        <v>150199.31</v>
      </c>
      <c r="AB16" s="6">
        <v>1139.2</v>
      </c>
      <c r="AC16" s="3" t="s">
        <v>66</v>
      </c>
      <c r="AD16" s="3" t="s">
        <v>36</v>
      </c>
    </row>
    <row r="17" spans="1:30">
      <c r="A17" s="2">
        <v>45937</v>
      </c>
      <c r="B17" s="3" t="s">
        <v>30</v>
      </c>
      <c r="C17" s="3" t="s">
        <v>51</v>
      </c>
      <c r="D17" s="3" t="s">
        <v>45</v>
      </c>
      <c r="E17" s="3" t="s">
        <v>52</v>
      </c>
      <c r="F17" s="3" t="s">
        <v>47</v>
      </c>
      <c r="G17" s="4">
        <v>92.92</v>
      </c>
      <c r="H17" s="4">
        <v>115.97</v>
      </c>
      <c r="I17" s="4">
        <v>124.14</v>
      </c>
      <c r="J17" s="4">
        <v>8.17</v>
      </c>
      <c r="K17" s="4">
        <v>8.0299999999999994</v>
      </c>
      <c r="L17" s="4">
        <v>8.6999999999999993</v>
      </c>
      <c r="M17" s="4">
        <v>12.2</v>
      </c>
      <c r="N17" s="4">
        <v>97.66</v>
      </c>
      <c r="O17" s="4">
        <v>2082.9</v>
      </c>
      <c r="P17" s="5">
        <v>6.59E-2</v>
      </c>
      <c r="Q17" s="5">
        <v>0.93410000000000004</v>
      </c>
      <c r="R17" s="5">
        <v>2.9700000000000001E-2</v>
      </c>
      <c r="S17" s="5">
        <v>1.23E-2</v>
      </c>
      <c r="T17" s="5">
        <v>0.74229999999999996</v>
      </c>
      <c r="U17" s="5">
        <v>0.75619999999999998</v>
      </c>
      <c r="V17" s="5">
        <v>1.2481</v>
      </c>
      <c r="W17" s="4">
        <v>1.1874</v>
      </c>
      <c r="X17" s="6">
        <v>82695.23</v>
      </c>
      <c r="Y17" s="6">
        <v>17158.77</v>
      </c>
      <c r="Z17" s="6">
        <v>4948.22</v>
      </c>
      <c r="AA17" s="6">
        <v>108328.26</v>
      </c>
      <c r="AB17" s="6">
        <v>934.12</v>
      </c>
      <c r="AC17" s="3" t="s">
        <v>67</v>
      </c>
      <c r="AD17" s="3" t="s">
        <v>36</v>
      </c>
    </row>
    <row r="18" spans="1:30">
      <c r="A18" s="2">
        <v>45938</v>
      </c>
      <c r="B18" s="3" t="s">
        <v>30</v>
      </c>
      <c r="C18" s="3" t="s">
        <v>31</v>
      </c>
      <c r="D18" s="3" t="s">
        <v>32</v>
      </c>
      <c r="E18" s="3" t="s">
        <v>39</v>
      </c>
      <c r="F18" s="3" t="s">
        <v>40</v>
      </c>
      <c r="G18" s="4">
        <v>75.459999999999994</v>
      </c>
      <c r="H18" s="4">
        <v>102.76</v>
      </c>
      <c r="I18" s="4">
        <v>108.12</v>
      </c>
      <c r="J18" s="4">
        <v>7.9</v>
      </c>
      <c r="K18" s="4">
        <v>7.73</v>
      </c>
      <c r="L18" s="4">
        <v>9.9</v>
      </c>
      <c r="M18" s="4">
        <v>16</v>
      </c>
      <c r="N18" s="4">
        <v>123.52</v>
      </c>
      <c r="O18" s="4">
        <v>1878.7</v>
      </c>
      <c r="P18" s="5">
        <v>4.9599999999999998E-2</v>
      </c>
      <c r="Q18" s="5">
        <v>0.95040000000000002</v>
      </c>
      <c r="R18" s="5">
        <v>1.23E-2</v>
      </c>
      <c r="S18" s="5">
        <v>8.0999999999999996E-3</v>
      </c>
      <c r="T18" s="5">
        <v>0.82569999999999999</v>
      </c>
      <c r="U18" s="5">
        <v>0.84199999999999997</v>
      </c>
      <c r="V18" s="5">
        <v>1.3617999999999999</v>
      </c>
      <c r="W18" s="4">
        <v>0.83189999999999997</v>
      </c>
      <c r="X18" s="6">
        <v>87959.85</v>
      </c>
      <c r="Y18" s="6">
        <v>20467.36</v>
      </c>
      <c r="Z18" s="6">
        <v>4909.62</v>
      </c>
      <c r="AA18" s="6">
        <v>119497.51</v>
      </c>
      <c r="AB18" s="6">
        <v>1162.9000000000001</v>
      </c>
      <c r="AC18" s="3" t="s">
        <v>68</v>
      </c>
      <c r="AD18" s="3" t="s">
        <v>36</v>
      </c>
    </row>
    <row r="19" spans="1:30">
      <c r="A19" s="2">
        <v>45939</v>
      </c>
      <c r="B19" s="3" t="s">
        <v>30</v>
      </c>
      <c r="C19" s="3" t="s">
        <v>37</v>
      </c>
      <c r="D19" s="3" t="s">
        <v>45</v>
      </c>
      <c r="E19" s="3" t="s">
        <v>52</v>
      </c>
      <c r="F19" s="3" t="s">
        <v>47</v>
      </c>
      <c r="G19" s="4">
        <v>148.43</v>
      </c>
      <c r="H19" s="4">
        <v>131.44999999999999</v>
      </c>
      <c r="I19" s="4">
        <v>138.81</v>
      </c>
      <c r="J19" s="4">
        <v>8.23</v>
      </c>
      <c r="K19" s="4">
        <v>8.18</v>
      </c>
      <c r="L19" s="4">
        <v>3.4</v>
      </c>
      <c r="M19" s="4">
        <v>15.4</v>
      </c>
      <c r="N19" s="4">
        <v>125.75</v>
      </c>
      <c r="O19" s="4">
        <v>2168</v>
      </c>
      <c r="P19" s="5">
        <v>5.2999999999999999E-2</v>
      </c>
      <c r="Q19" s="5">
        <v>0.94699999999999995</v>
      </c>
      <c r="R19" s="5">
        <v>3.4500000000000003E-2</v>
      </c>
      <c r="S19" s="5">
        <v>1.21E-2</v>
      </c>
      <c r="T19" s="5">
        <v>0.72489999999999999</v>
      </c>
      <c r="U19" s="5">
        <v>0.62980000000000003</v>
      </c>
      <c r="V19" s="5">
        <v>0.88560000000000005</v>
      </c>
      <c r="W19" s="4">
        <v>1.0452999999999999</v>
      </c>
      <c r="X19" s="6">
        <v>100450.64</v>
      </c>
      <c r="Y19" s="6">
        <v>20271.39</v>
      </c>
      <c r="Z19" s="6">
        <v>4503.55</v>
      </c>
      <c r="AA19" s="6">
        <v>131446.35</v>
      </c>
      <c r="AB19" s="6">
        <v>999.98</v>
      </c>
      <c r="AC19" s="3" t="s">
        <v>69</v>
      </c>
      <c r="AD19" s="3" t="s">
        <v>56</v>
      </c>
    </row>
    <row r="20" spans="1:30">
      <c r="A20" s="2">
        <v>45940</v>
      </c>
      <c r="B20" s="3" t="s">
        <v>30</v>
      </c>
      <c r="C20" s="3" t="s">
        <v>37</v>
      </c>
      <c r="D20" s="3" t="s">
        <v>45</v>
      </c>
      <c r="E20" s="3" t="s">
        <v>52</v>
      </c>
      <c r="F20" s="3" t="s">
        <v>47</v>
      </c>
      <c r="G20" s="4">
        <v>69.42</v>
      </c>
      <c r="H20" s="4">
        <v>113.37</v>
      </c>
      <c r="I20" s="4">
        <v>117.65</v>
      </c>
      <c r="J20" s="4">
        <v>7.61</v>
      </c>
      <c r="K20" s="4">
        <v>7.47</v>
      </c>
      <c r="L20" s="4">
        <v>8</v>
      </c>
      <c r="M20" s="4">
        <v>14.1</v>
      </c>
      <c r="N20" s="4">
        <v>105.18</v>
      </c>
      <c r="O20" s="4">
        <v>1920.3</v>
      </c>
      <c r="P20" s="5">
        <v>3.6400000000000002E-2</v>
      </c>
      <c r="Q20" s="5">
        <v>0.96360000000000001</v>
      </c>
      <c r="R20" s="5">
        <v>3.5999999999999999E-3</v>
      </c>
      <c r="S20" s="5">
        <v>1.9400000000000001E-2</v>
      </c>
      <c r="T20" s="5">
        <v>0.81289999999999996</v>
      </c>
      <c r="U20" s="5">
        <v>0.82230000000000003</v>
      </c>
      <c r="V20" s="5">
        <v>1.633</v>
      </c>
      <c r="W20" s="4">
        <v>1.0778000000000001</v>
      </c>
      <c r="X20" s="6">
        <v>78010.52</v>
      </c>
      <c r="Y20" s="6">
        <v>16596.95</v>
      </c>
      <c r="Z20" s="6">
        <v>5215.1099999999997</v>
      </c>
      <c r="AA20" s="6">
        <v>106010.47</v>
      </c>
      <c r="AB20" s="6">
        <v>935.09</v>
      </c>
      <c r="AC20" s="3" t="s">
        <v>70</v>
      </c>
      <c r="AD20" s="3" t="s">
        <v>56</v>
      </c>
    </row>
    <row r="21" spans="1:30">
      <c r="A21" s="2">
        <v>45941</v>
      </c>
      <c r="B21" s="3" t="s">
        <v>30</v>
      </c>
      <c r="C21" s="3" t="s">
        <v>37</v>
      </c>
      <c r="D21" s="3" t="s">
        <v>32</v>
      </c>
      <c r="E21" s="3" t="s">
        <v>43</v>
      </c>
      <c r="F21" s="3" t="s">
        <v>40</v>
      </c>
      <c r="G21" s="4">
        <v>109.49</v>
      </c>
      <c r="H21" s="4">
        <v>125.24</v>
      </c>
      <c r="I21" s="4">
        <v>131.11000000000001</v>
      </c>
      <c r="J21" s="4">
        <v>7.74</v>
      </c>
      <c r="K21" s="4">
        <v>7.63</v>
      </c>
      <c r="L21" s="4">
        <v>6.6</v>
      </c>
      <c r="M21" s="4">
        <v>15.1</v>
      </c>
      <c r="N21" s="4">
        <v>115.5</v>
      </c>
      <c r="O21" s="4">
        <v>2121.6999999999998</v>
      </c>
      <c r="P21" s="5">
        <v>4.4699999999999997E-2</v>
      </c>
      <c r="Q21" s="5">
        <v>0.95530000000000004</v>
      </c>
      <c r="R21" s="5">
        <v>1.89E-2</v>
      </c>
      <c r="S21" s="5">
        <v>1.41E-2</v>
      </c>
      <c r="T21" s="5">
        <v>0.82030000000000003</v>
      </c>
      <c r="U21" s="5">
        <v>0.83709999999999996</v>
      </c>
      <c r="V21" s="5">
        <v>1.1438999999999999</v>
      </c>
      <c r="W21" s="4">
        <v>1.0844</v>
      </c>
      <c r="X21" s="6">
        <v>105971.55</v>
      </c>
      <c r="Y21" s="6">
        <v>20013.919999999998</v>
      </c>
      <c r="Z21" s="6">
        <v>4278.62</v>
      </c>
      <c r="AA21" s="6">
        <v>136597.62</v>
      </c>
      <c r="AB21" s="6">
        <v>1090.6500000000001</v>
      </c>
      <c r="AC21" s="3" t="s">
        <v>71</v>
      </c>
      <c r="AD21" s="3" t="s">
        <v>59</v>
      </c>
    </row>
    <row r="22" spans="1:30">
      <c r="A22" s="2">
        <v>45942</v>
      </c>
      <c r="B22" s="3" t="s">
        <v>30</v>
      </c>
      <c r="C22" s="3" t="s">
        <v>37</v>
      </c>
      <c r="D22" s="3" t="s">
        <v>38</v>
      </c>
      <c r="E22" s="3" t="s">
        <v>39</v>
      </c>
      <c r="F22" s="3" t="s">
        <v>40</v>
      </c>
      <c r="G22" s="4">
        <v>112.4</v>
      </c>
      <c r="H22" s="4">
        <v>126.85</v>
      </c>
      <c r="I22" s="4">
        <v>132.52000000000001</v>
      </c>
      <c r="J22" s="4">
        <v>8.02</v>
      </c>
      <c r="K22" s="4">
        <v>7.77</v>
      </c>
      <c r="L22" s="4">
        <v>14.6</v>
      </c>
      <c r="M22" s="4">
        <v>15.2</v>
      </c>
      <c r="N22" s="4">
        <v>118.34</v>
      </c>
      <c r="O22" s="4">
        <v>2174.6</v>
      </c>
      <c r="P22" s="5">
        <v>4.2799999999999998E-2</v>
      </c>
      <c r="Q22" s="5">
        <v>0.95720000000000005</v>
      </c>
      <c r="R22" s="5">
        <v>4.1099999999999998E-2</v>
      </c>
      <c r="S22" s="5">
        <v>1.6400000000000001E-2</v>
      </c>
      <c r="T22" s="5">
        <v>0.63060000000000005</v>
      </c>
      <c r="U22" s="5">
        <v>0.63149999999999995</v>
      </c>
      <c r="V22" s="5">
        <v>1.1285000000000001</v>
      </c>
      <c r="W22" s="4">
        <v>1.0718000000000001</v>
      </c>
      <c r="X22" s="6">
        <v>109860.37</v>
      </c>
      <c r="Y22" s="6">
        <v>22704.240000000002</v>
      </c>
      <c r="Z22" s="6">
        <v>4385.1000000000004</v>
      </c>
      <c r="AA22" s="6">
        <v>142597.68</v>
      </c>
      <c r="AB22" s="6">
        <v>1124.18</v>
      </c>
      <c r="AC22" s="3" t="s">
        <v>72</v>
      </c>
      <c r="AD22" s="3" t="s">
        <v>36</v>
      </c>
    </row>
    <row r="23" spans="1:30">
      <c r="A23" s="2">
        <v>45943</v>
      </c>
      <c r="B23" s="3" t="s">
        <v>30</v>
      </c>
      <c r="C23" s="3" t="s">
        <v>42</v>
      </c>
      <c r="D23" s="3" t="s">
        <v>45</v>
      </c>
      <c r="E23" s="3" t="s">
        <v>52</v>
      </c>
      <c r="F23" s="3" t="s">
        <v>47</v>
      </c>
      <c r="G23" s="4">
        <v>131.34</v>
      </c>
      <c r="H23" s="4">
        <v>139.15</v>
      </c>
      <c r="I23" s="4">
        <v>144.13999999999999</v>
      </c>
      <c r="J23" s="4">
        <v>8.2100000000000009</v>
      </c>
      <c r="K23" s="4">
        <v>7.99</v>
      </c>
      <c r="L23" s="4">
        <v>13.3</v>
      </c>
      <c r="M23" s="4">
        <v>18.899999999999999</v>
      </c>
      <c r="N23" s="4">
        <v>151.13999999999999</v>
      </c>
      <c r="O23" s="4">
        <v>2274.1</v>
      </c>
      <c r="P23" s="5">
        <v>3.4599999999999999E-2</v>
      </c>
      <c r="Q23" s="5">
        <v>0.96540000000000004</v>
      </c>
      <c r="R23" s="5">
        <v>3.5400000000000001E-2</v>
      </c>
      <c r="S23" s="5">
        <v>1.6899999999999998E-2</v>
      </c>
      <c r="T23" s="5">
        <v>0.80610000000000004</v>
      </c>
      <c r="U23" s="5">
        <v>0.80959999999999999</v>
      </c>
      <c r="V23" s="5">
        <v>1.0595000000000001</v>
      </c>
      <c r="W23" s="4">
        <v>0.92069999999999996</v>
      </c>
      <c r="X23" s="6">
        <v>116638.2</v>
      </c>
      <c r="Y23" s="6">
        <v>27940.45</v>
      </c>
      <c r="Z23" s="6">
        <v>5772.69</v>
      </c>
      <c r="AA23" s="6">
        <v>156346.39000000001</v>
      </c>
      <c r="AB23" s="6">
        <v>1123.55</v>
      </c>
      <c r="AC23" s="3" t="s">
        <v>73</v>
      </c>
      <c r="AD23" s="3" t="s">
        <v>36</v>
      </c>
    </row>
    <row r="24" spans="1:30">
      <c r="A24" s="2">
        <v>45944</v>
      </c>
      <c r="B24" s="3" t="s">
        <v>30</v>
      </c>
      <c r="C24" s="3" t="s">
        <v>51</v>
      </c>
      <c r="D24" s="3" t="s">
        <v>45</v>
      </c>
      <c r="E24" s="3" t="s">
        <v>62</v>
      </c>
      <c r="F24" s="3" t="s">
        <v>63</v>
      </c>
      <c r="G24" s="4">
        <v>57.56</v>
      </c>
      <c r="H24" s="4">
        <v>141.97999999999999</v>
      </c>
      <c r="I24" s="4">
        <v>150.49</v>
      </c>
      <c r="J24" s="4">
        <v>7.23</v>
      </c>
      <c r="K24" s="4">
        <v>7.19</v>
      </c>
      <c r="L24" s="4">
        <v>2.2000000000000002</v>
      </c>
      <c r="M24" s="4">
        <v>20.100000000000001</v>
      </c>
      <c r="N24" s="4">
        <v>144.68</v>
      </c>
      <c r="O24" s="4">
        <v>2274.1999999999998</v>
      </c>
      <c r="P24" s="5">
        <v>5.6500000000000002E-2</v>
      </c>
      <c r="Q24" s="5">
        <v>0.94350000000000001</v>
      </c>
      <c r="R24" s="5">
        <v>3.56E-2</v>
      </c>
      <c r="S24" s="5">
        <v>1.2200000000000001E-2</v>
      </c>
      <c r="T24" s="5">
        <v>0.90720000000000001</v>
      </c>
      <c r="U24" s="5">
        <v>0.93600000000000005</v>
      </c>
      <c r="V24" s="5">
        <v>2.4666000000000001</v>
      </c>
      <c r="W24" s="4">
        <v>0.98129999999999995</v>
      </c>
      <c r="X24" s="6">
        <v>125749.12</v>
      </c>
      <c r="Y24" s="6">
        <v>25129</v>
      </c>
      <c r="Z24" s="6">
        <v>5989.27</v>
      </c>
      <c r="AA24" s="6">
        <v>159781.18</v>
      </c>
      <c r="AB24" s="6">
        <v>1125.3599999999999</v>
      </c>
      <c r="AC24" s="3" t="s">
        <v>74</v>
      </c>
      <c r="AD24" s="3" t="s">
        <v>75</v>
      </c>
    </row>
    <row r="25" spans="1:30">
      <c r="A25" s="2">
        <v>45945</v>
      </c>
      <c r="B25" s="3" t="s">
        <v>30</v>
      </c>
      <c r="C25" s="3" t="s">
        <v>42</v>
      </c>
      <c r="D25" s="3" t="s">
        <v>45</v>
      </c>
      <c r="E25" s="3" t="s">
        <v>52</v>
      </c>
      <c r="F25" s="3" t="s">
        <v>47</v>
      </c>
      <c r="G25" s="4">
        <v>132.56</v>
      </c>
      <c r="H25" s="4">
        <v>124.73</v>
      </c>
      <c r="I25" s="4">
        <v>131.72</v>
      </c>
      <c r="J25" s="4">
        <v>7.24</v>
      </c>
      <c r="K25" s="4">
        <v>7.11</v>
      </c>
      <c r="L25" s="4">
        <v>7.6</v>
      </c>
      <c r="M25" s="4">
        <v>12.5</v>
      </c>
      <c r="N25" s="4">
        <v>88.83</v>
      </c>
      <c r="O25" s="4">
        <v>2173.5</v>
      </c>
      <c r="P25" s="5">
        <v>5.3100000000000001E-2</v>
      </c>
      <c r="Q25" s="5">
        <v>0.94689999999999996</v>
      </c>
      <c r="R25" s="5">
        <v>3.15E-2</v>
      </c>
      <c r="S25" s="5">
        <v>1.9E-2</v>
      </c>
      <c r="T25" s="5">
        <v>0.81220000000000003</v>
      </c>
      <c r="U25" s="5">
        <v>0.73660000000000003</v>
      </c>
      <c r="V25" s="5">
        <v>0.94089999999999996</v>
      </c>
      <c r="W25" s="4">
        <v>1.4040999999999999</v>
      </c>
      <c r="X25" s="6">
        <v>81800.08</v>
      </c>
      <c r="Y25" s="6">
        <v>15659.85</v>
      </c>
      <c r="Z25" s="6">
        <v>5803.87</v>
      </c>
      <c r="AA25" s="6">
        <v>108741.67</v>
      </c>
      <c r="AB25" s="6">
        <v>871.85</v>
      </c>
      <c r="AC25" s="3" t="s">
        <v>76</v>
      </c>
      <c r="AD25" s="3" t="s">
        <v>36</v>
      </c>
    </row>
    <row r="26" spans="1:30">
      <c r="A26" s="2">
        <v>45946</v>
      </c>
      <c r="B26" s="3" t="s">
        <v>30</v>
      </c>
      <c r="C26" s="3" t="s">
        <v>31</v>
      </c>
      <c r="D26" s="3" t="s">
        <v>32</v>
      </c>
      <c r="E26" s="3" t="s">
        <v>46</v>
      </c>
      <c r="F26" s="3" t="s">
        <v>47</v>
      </c>
      <c r="G26" s="4">
        <v>146.13</v>
      </c>
      <c r="H26" s="4">
        <v>136.91</v>
      </c>
      <c r="I26" s="4">
        <v>149.05000000000001</v>
      </c>
      <c r="J26" s="4">
        <v>7.88</v>
      </c>
      <c r="K26" s="4">
        <v>7.82</v>
      </c>
      <c r="L26" s="4">
        <v>3.5</v>
      </c>
      <c r="M26" s="4">
        <v>15.7</v>
      </c>
      <c r="N26" s="4">
        <v>122.44</v>
      </c>
      <c r="O26" s="4">
        <v>2180.6999999999998</v>
      </c>
      <c r="P26" s="5">
        <v>8.1500000000000003E-2</v>
      </c>
      <c r="Q26" s="5">
        <v>0.91849999999999998</v>
      </c>
      <c r="R26" s="5">
        <v>2.86E-2</v>
      </c>
      <c r="S26" s="5">
        <v>1.9E-2</v>
      </c>
      <c r="T26" s="5">
        <v>0.82709999999999995</v>
      </c>
      <c r="U26" s="5">
        <v>0.75460000000000005</v>
      </c>
      <c r="V26" s="5">
        <v>0.93689999999999996</v>
      </c>
      <c r="W26" s="4">
        <v>1.1181000000000001</v>
      </c>
      <c r="X26" s="6">
        <v>96941.63</v>
      </c>
      <c r="Y26" s="6">
        <v>17835.86</v>
      </c>
      <c r="Z26" s="6">
        <v>4572.32</v>
      </c>
      <c r="AA26" s="6">
        <v>125425.54</v>
      </c>
      <c r="AB26" s="6">
        <v>916.13</v>
      </c>
      <c r="AC26" s="3" t="s">
        <v>77</v>
      </c>
      <c r="AD26" s="3" t="s">
        <v>36</v>
      </c>
    </row>
    <row r="27" spans="1:30">
      <c r="A27" s="2">
        <v>45947</v>
      </c>
      <c r="B27" s="3" t="s">
        <v>30</v>
      </c>
      <c r="C27" s="3" t="s">
        <v>37</v>
      </c>
      <c r="D27" s="3" t="s">
        <v>38</v>
      </c>
      <c r="E27" s="3" t="s">
        <v>33</v>
      </c>
      <c r="F27" s="3" t="s">
        <v>34</v>
      </c>
      <c r="G27" s="4">
        <v>71.3</v>
      </c>
      <c r="H27" s="4">
        <v>126.17</v>
      </c>
      <c r="I27" s="4">
        <v>134.04</v>
      </c>
      <c r="J27" s="4">
        <v>7.66</v>
      </c>
      <c r="K27" s="4">
        <v>7.32</v>
      </c>
      <c r="L27" s="4">
        <v>20.399999999999999</v>
      </c>
      <c r="M27" s="4">
        <v>14.7</v>
      </c>
      <c r="N27" s="4">
        <v>107.5</v>
      </c>
      <c r="O27" s="4">
        <v>2289.8000000000002</v>
      </c>
      <c r="P27" s="5">
        <v>5.8700000000000002E-2</v>
      </c>
      <c r="Q27" s="5">
        <v>0.94130000000000003</v>
      </c>
      <c r="R27" s="5">
        <v>3.6700000000000003E-2</v>
      </c>
      <c r="S27" s="5">
        <v>8.6E-3</v>
      </c>
      <c r="T27" s="5">
        <v>0.90920000000000001</v>
      </c>
      <c r="U27" s="5">
        <v>0.90439999999999998</v>
      </c>
      <c r="V27" s="5">
        <v>1.7697000000000001</v>
      </c>
      <c r="W27" s="4">
        <v>1.1737</v>
      </c>
      <c r="X27" s="6">
        <v>101226.05</v>
      </c>
      <c r="Y27" s="6">
        <v>18215.8</v>
      </c>
      <c r="Z27" s="6">
        <v>4953.1499999999996</v>
      </c>
      <c r="AA27" s="6">
        <v>130698.2</v>
      </c>
      <c r="AB27" s="6">
        <v>1035.8499999999999</v>
      </c>
      <c r="AC27" s="3" t="s">
        <v>78</v>
      </c>
      <c r="AD27" s="3" t="s">
        <v>36</v>
      </c>
    </row>
    <row r="28" spans="1:30">
      <c r="A28" s="2">
        <v>45948</v>
      </c>
      <c r="B28" s="3" t="s">
        <v>30</v>
      </c>
      <c r="C28" s="3" t="s">
        <v>37</v>
      </c>
      <c r="D28" s="3" t="s">
        <v>32</v>
      </c>
      <c r="E28" s="3" t="s">
        <v>62</v>
      </c>
      <c r="F28" s="3" t="s">
        <v>63</v>
      </c>
      <c r="G28" s="4">
        <v>117.61</v>
      </c>
      <c r="H28" s="4">
        <v>131.32</v>
      </c>
      <c r="I28" s="4">
        <v>135.27000000000001</v>
      </c>
      <c r="J28" s="4">
        <v>8.34</v>
      </c>
      <c r="K28" s="4">
        <v>7.79</v>
      </c>
      <c r="L28" s="4">
        <v>33.200000000000003</v>
      </c>
      <c r="M28" s="4">
        <v>10.6</v>
      </c>
      <c r="N28" s="4">
        <v>82.83</v>
      </c>
      <c r="O28" s="4">
        <v>2263.1999999999998</v>
      </c>
      <c r="P28" s="5">
        <v>2.92E-2</v>
      </c>
      <c r="Q28" s="5">
        <v>0.9708</v>
      </c>
      <c r="R28" s="5">
        <v>8.8999999999999999E-3</v>
      </c>
      <c r="S28" s="5">
        <v>1.26E-2</v>
      </c>
      <c r="T28" s="5">
        <v>0.86899999999999999</v>
      </c>
      <c r="U28" s="5">
        <v>0.84109999999999996</v>
      </c>
      <c r="V28" s="5">
        <v>1.1166</v>
      </c>
      <c r="W28" s="4">
        <v>1.5852999999999999</v>
      </c>
      <c r="X28" s="6">
        <v>104230.68</v>
      </c>
      <c r="Y28" s="6">
        <v>16029.36</v>
      </c>
      <c r="Z28" s="6">
        <v>4832.9399999999996</v>
      </c>
      <c r="AA28" s="6">
        <v>130635.84</v>
      </c>
      <c r="AB28" s="6">
        <v>994.8</v>
      </c>
      <c r="AC28" s="3" t="s">
        <v>79</v>
      </c>
      <c r="AD28" s="3" t="s">
        <v>36</v>
      </c>
    </row>
    <row r="29" spans="1:30">
      <c r="A29" s="2">
        <v>45949</v>
      </c>
      <c r="B29" s="3" t="s">
        <v>30</v>
      </c>
      <c r="C29" s="3" t="s">
        <v>37</v>
      </c>
      <c r="D29" s="3" t="s">
        <v>32</v>
      </c>
      <c r="E29" s="3" t="s">
        <v>39</v>
      </c>
      <c r="F29" s="3" t="s">
        <v>40</v>
      </c>
      <c r="G29" s="4">
        <v>80.38</v>
      </c>
      <c r="H29" s="4">
        <v>96.88</v>
      </c>
      <c r="I29" s="4">
        <v>98.92</v>
      </c>
      <c r="J29" s="4">
        <v>7.66</v>
      </c>
      <c r="K29" s="4">
        <v>7.16</v>
      </c>
      <c r="L29" s="4">
        <v>29.9</v>
      </c>
      <c r="M29" s="4">
        <v>20.3</v>
      </c>
      <c r="N29" s="4">
        <v>145.16</v>
      </c>
      <c r="O29" s="4">
        <v>1894.8</v>
      </c>
      <c r="P29" s="5">
        <v>2.07E-2</v>
      </c>
      <c r="Q29" s="5">
        <v>0.97929999999999995</v>
      </c>
      <c r="R29" s="5">
        <v>2.9000000000000001E-2</v>
      </c>
      <c r="S29" s="5">
        <v>1.9900000000000001E-2</v>
      </c>
      <c r="T29" s="5">
        <v>0.77759999999999996</v>
      </c>
      <c r="U29" s="5">
        <v>0.74809999999999999</v>
      </c>
      <c r="V29" s="5">
        <v>1.2052</v>
      </c>
      <c r="W29" s="4">
        <v>0.66739999999999999</v>
      </c>
      <c r="X29" s="6">
        <v>70891.240000000005</v>
      </c>
      <c r="Y29" s="6">
        <v>23774.78</v>
      </c>
      <c r="Z29" s="6">
        <v>5075.4399999999996</v>
      </c>
      <c r="AA29" s="6">
        <v>102320.25</v>
      </c>
      <c r="AB29" s="6">
        <v>1056.21</v>
      </c>
      <c r="AC29" s="3" t="s">
        <v>80</v>
      </c>
      <c r="AD29" s="3" t="s">
        <v>36</v>
      </c>
    </row>
    <row r="30" spans="1:30">
      <c r="A30" s="2">
        <v>45950</v>
      </c>
      <c r="B30" s="3" t="s">
        <v>30</v>
      </c>
      <c r="C30" s="3" t="s">
        <v>37</v>
      </c>
      <c r="D30" s="3" t="s">
        <v>38</v>
      </c>
      <c r="E30" s="3" t="s">
        <v>46</v>
      </c>
      <c r="F30" s="3" t="s">
        <v>47</v>
      </c>
      <c r="G30" s="4">
        <v>132.19</v>
      </c>
      <c r="H30" s="4">
        <v>101.36</v>
      </c>
      <c r="I30" s="4">
        <v>105.05</v>
      </c>
      <c r="J30" s="4">
        <v>7.39</v>
      </c>
      <c r="K30" s="4">
        <v>7.05</v>
      </c>
      <c r="L30" s="4">
        <v>20.5</v>
      </c>
      <c r="M30" s="4">
        <v>19</v>
      </c>
      <c r="N30" s="4">
        <v>134.11000000000001</v>
      </c>
      <c r="O30" s="4">
        <v>2099.6</v>
      </c>
      <c r="P30" s="5">
        <v>3.5200000000000002E-2</v>
      </c>
      <c r="Q30" s="5">
        <v>0.96479999999999999</v>
      </c>
      <c r="R30" s="5">
        <v>3.32E-2</v>
      </c>
      <c r="S30" s="5">
        <v>1.18E-2</v>
      </c>
      <c r="T30" s="5">
        <v>0.75239999999999996</v>
      </c>
      <c r="U30" s="5">
        <v>0.54369999999999996</v>
      </c>
      <c r="V30" s="5">
        <v>0.76680000000000004</v>
      </c>
      <c r="W30" s="4">
        <v>0.75580000000000003</v>
      </c>
      <c r="X30" s="6">
        <v>69170.399999999994</v>
      </c>
      <c r="Y30" s="6">
        <v>26059.72</v>
      </c>
      <c r="Z30" s="6">
        <v>4820.04</v>
      </c>
      <c r="AA30" s="6">
        <v>105674.11</v>
      </c>
      <c r="AB30" s="6">
        <v>1042.56</v>
      </c>
      <c r="AC30" s="3" t="s">
        <v>81</v>
      </c>
      <c r="AD30" s="3" t="s">
        <v>36</v>
      </c>
    </row>
    <row r="31" spans="1:30">
      <c r="A31" s="2">
        <v>45951</v>
      </c>
      <c r="B31" s="3" t="s">
        <v>30</v>
      </c>
      <c r="C31" s="3" t="s">
        <v>31</v>
      </c>
      <c r="D31" s="3" t="s">
        <v>32</v>
      </c>
      <c r="E31" s="3" t="s">
        <v>52</v>
      </c>
      <c r="F31" s="3" t="s">
        <v>47</v>
      </c>
      <c r="G31" s="4">
        <v>126.2</v>
      </c>
      <c r="H31" s="4">
        <v>126.03</v>
      </c>
      <c r="I31" s="4">
        <v>130.96</v>
      </c>
      <c r="J31" s="4">
        <v>7.45</v>
      </c>
      <c r="K31" s="4">
        <v>7.14</v>
      </c>
      <c r="L31" s="4">
        <v>18.8</v>
      </c>
      <c r="M31" s="4">
        <v>17.3</v>
      </c>
      <c r="N31" s="4">
        <v>123.74</v>
      </c>
      <c r="O31" s="4">
        <v>2175.5</v>
      </c>
      <c r="P31" s="5">
        <v>3.7699999999999997E-2</v>
      </c>
      <c r="Q31" s="5">
        <v>0.96230000000000004</v>
      </c>
      <c r="R31" s="5">
        <v>2.2599999999999999E-2</v>
      </c>
      <c r="S31" s="5">
        <v>8.0000000000000002E-3</v>
      </c>
      <c r="T31" s="5">
        <v>0.87629999999999997</v>
      </c>
      <c r="U31" s="5">
        <v>0.83160000000000001</v>
      </c>
      <c r="V31" s="5">
        <v>0.99860000000000004</v>
      </c>
      <c r="W31" s="4">
        <v>1.0185</v>
      </c>
      <c r="X31" s="6">
        <v>93215.51</v>
      </c>
      <c r="Y31" s="6">
        <v>21809.8</v>
      </c>
      <c r="Z31" s="6">
        <v>5264.19</v>
      </c>
      <c r="AA31" s="6">
        <v>125929.58</v>
      </c>
      <c r="AB31" s="6">
        <v>999.22</v>
      </c>
      <c r="AC31" s="3" t="s">
        <v>82</v>
      </c>
      <c r="AD31" s="3" t="s">
        <v>36</v>
      </c>
    </row>
    <row r="32" spans="1:30">
      <c r="A32" s="2">
        <v>45952</v>
      </c>
      <c r="B32" s="3" t="s">
        <v>30</v>
      </c>
      <c r="C32" s="3" t="s">
        <v>51</v>
      </c>
      <c r="D32" s="3" t="s">
        <v>45</v>
      </c>
      <c r="E32" s="3" t="s">
        <v>33</v>
      </c>
      <c r="F32" s="3" t="s">
        <v>34</v>
      </c>
      <c r="G32" s="4">
        <v>97.84</v>
      </c>
      <c r="H32" s="4">
        <v>113.99</v>
      </c>
      <c r="I32" s="4">
        <v>118.83</v>
      </c>
      <c r="J32" s="4">
        <v>7.68</v>
      </c>
      <c r="K32" s="4">
        <v>7.51</v>
      </c>
      <c r="L32" s="4">
        <v>9.9</v>
      </c>
      <c r="M32" s="4">
        <v>19.399999999999999</v>
      </c>
      <c r="N32" s="4">
        <v>145.77000000000001</v>
      </c>
      <c r="O32" s="4">
        <v>1921.9</v>
      </c>
      <c r="P32" s="5">
        <v>4.07E-2</v>
      </c>
      <c r="Q32" s="5">
        <v>0.95930000000000004</v>
      </c>
      <c r="R32" s="5">
        <v>2.9499999999999998E-2</v>
      </c>
      <c r="S32" s="5">
        <v>1.0999999999999999E-2</v>
      </c>
      <c r="T32" s="5">
        <v>0.746</v>
      </c>
      <c r="U32" s="5">
        <v>0.75800000000000001</v>
      </c>
      <c r="V32" s="5">
        <v>1.1651</v>
      </c>
      <c r="W32" s="4">
        <v>0.78200000000000003</v>
      </c>
      <c r="X32" s="6">
        <v>102271.19</v>
      </c>
      <c r="Y32" s="6">
        <v>25949.97</v>
      </c>
      <c r="Z32" s="6">
        <v>4726.8</v>
      </c>
      <c r="AA32" s="6">
        <v>139406.78</v>
      </c>
      <c r="AB32" s="6">
        <v>1222.94</v>
      </c>
      <c r="AC32" s="3" t="s">
        <v>83</v>
      </c>
      <c r="AD32" s="3" t="s">
        <v>59</v>
      </c>
    </row>
    <row r="33" spans="1:30">
      <c r="A33" s="2">
        <v>45953</v>
      </c>
      <c r="B33" s="3" t="s">
        <v>30</v>
      </c>
      <c r="C33" s="3" t="s">
        <v>42</v>
      </c>
      <c r="D33" s="3" t="s">
        <v>45</v>
      </c>
      <c r="E33" s="3" t="s">
        <v>52</v>
      </c>
      <c r="F33" s="3" t="s">
        <v>47</v>
      </c>
      <c r="G33" s="4">
        <v>60.44</v>
      </c>
      <c r="H33" s="4">
        <v>144.5</v>
      </c>
      <c r="I33" s="4">
        <v>151.13</v>
      </c>
      <c r="J33" s="4">
        <v>8.4</v>
      </c>
      <c r="K33" s="4">
        <v>8.2799999999999994</v>
      </c>
      <c r="L33" s="4">
        <v>7.1</v>
      </c>
      <c r="M33" s="4">
        <v>14.5</v>
      </c>
      <c r="N33" s="4">
        <v>120.27</v>
      </c>
      <c r="O33" s="4">
        <v>2398.1999999999998</v>
      </c>
      <c r="P33" s="5">
        <v>4.3900000000000002E-2</v>
      </c>
      <c r="Q33" s="5">
        <v>0.95609999999999995</v>
      </c>
      <c r="R33" s="5">
        <v>9.7000000000000003E-3</v>
      </c>
      <c r="S33" s="5">
        <v>2.1000000000000001E-2</v>
      </c>
      <c r="T33" s="5">
        <v>0.83940000000000003</v>
      </c>
      <c r="U33" s="5">
        <v>0.85070000000000001</v>
      </c>
      <c r="V33" s="5">
        <v>2.3906999999999998</v>
      </c>
      <c r="W33" s="4">
        <v>1.2015</v>
      </c>
      <c r="X33" s="6">
        <v>132401.07</v>
      </c>
      <c r="Y33" s="6">
        <v>18350.54</v>
      </c>
      <c r="Z33" s="6">
        <v>6331.78</v>
      </c>
      <c r="AA33" s="6">
        <v>162360.62</v>
      </c>
      <c r="AB33" s="6">
        <v>1123.6099999999999</v>
      </c>
      <c r="AC33" s="3" t="s">
        <v>84</v>
      </c>
      <c r="AD33" s="3" t="s">
        <v>36</v>
      </c>
    </row>
    <row r="34" spans="1:30">
      <c r="A34" s="2">
        <v>45954</v>
      </c>
      <c r="B34" s="3" t="s">
        <v>30</v>
      </c>
      <c r="C34" s="3" t="s">
        <v>42</v>
      </c>
      <c r="D34" s="3" t="s">
        <v>38</v>
      </c>
      <c r="E34" s="3" t="s">
        <v>43</v>
      </c>
      <c r="F34" s="3" t="s">
        <v>40</v>
      </c>
      <c r="G34" s="4">
        <v>106.13</v>
      </c>
      <c r="H34" s="4">
        <v>76.78</v>
      </c>
      <c r="I34" s="4">
        <v>78.78</v>
      </c>
      <c r="J34" s="4">
        <v>7.51</v>
      </c>
      <c r="K34" s="4">
        <v>7.42</v>
      </c>
      <c r="L34" s="4">
        <v>5</v>
      </c>
      <c r="M34" s="4">
        <v>18.2</v>
      </c>
      <c r="N34" s="4">
        <v>134.81</v>
      </c>
      <c r="O34" s="4">
        <v>1620.2</v>
      </c>
      <c r="P34" s="5">
        <v>2.5499999999999998E-2</v>
      </c>
      <c r="Q34" s="5">
        <v>0.97450000000000003</v>
      </c>
      <c r="R34" s="5">
        <v>3.09E-2</v>
      </c>
      <c r="S34" s="5">
        <v>1.67E-2</v>
      </c>
      <c r="T34" s="5">
        <v>0.80810000000000004</v>
      </c>
      <c r="U34" s="5">
        <v>0.56840000000000002</v>
      </c>
      <c r="V34" s="5">
        <v>0.72340000000000004</v>
      </c>
      <c r="W34" s="4">
        <v>0.56950000000000001</v>
      </c>
      <c r="X34" s="6">
        <v>67391.850000000006</v>
      </c>
      <c r="Y34" s="6">
        <v>26002.23</v>
      </c>
      <c r="Z34" s="6">
        <v>4031.75</v>
      </c>
      <c r="AA34" s="6">
        <v>101340.14</v>
      </c>
      <c r="AB34" s="6">
        <v>1319.94</v>
      </c>
      <c r="AC34" s="3" t="s">
        <v>85</v>
      </c>
      <c r="AD34" s="3" t="s">
        <v>36</v>
      </c>
    </row>
    <row r="35" spans="1:30">
      <c r="A35" s="2">
        <v>45955</v>
      </c>
      <c r="B35" s="3" t="s">
        <v>30</v>
      </c>
      <c r="C35" s="3" t="s">
        <v>31</v>
      </c>
      <c r="D35" s="3" t="s">
        <v>38</v>
      </c>
      <c r="E35" s="3" t="s">
        <v>43</v>
      </c>
      <c r="F35" s="3" t="s">
        <v>40</v>
      </c>
      <c r="G35" s="4">
        <v>122.15</v>
      </c>
      <c r="H35" s="4">
        <v>127.17</v>
      </c>
      <c r="I35" s="4">
        <v>136.08000000000001</v>
      </c>
      <c r="J35" s="4">
        <v>7.99</v>
      </c>
      <c r="K35" s="4">
        <v>7.67</v>
      </c>
      <c r="L35" s="4">
        <v>19.7</v>
      </c>
      <c r="M35" s="4">
        <v>18</v>
      </c>
      <c r="N35" s="4">
        <v>138.19</v>
      </c>
      <c r="O35" s="4">
        <v>2079.6999999999998</v>
      </c>
      <c r="P35" s="5">
        <v>6.5500000000000003E-2</v>
      </c>
      <c r="Q35" s="5">
        <v>0.9345</v>
      </c>
      <c r="R35" s="5">
        <v>8.2000000000000007E-3</v>
      </c>
      <c r="S35" s="5">
        <v>1.17E-2</v>
      </c>
      <c r="T35" s="5">
        <v>0.87039999999999995</v>
      </c>
      <c r="U35" s="5">
        <v>0.85880000000000001</v>
      </c>
      <c r="V35" s="5">
        <v>1.0410999999999999</v>
      </c>
      <c r="W35" s="4">
        <v>0.92020000000000002</v>
      </c>
      <c r="X35" s="6">
        <v>100949.66</v>
      </c>
      <c r="Y35" s="6">
        <v>22669.66</v>
      </c>
      <c r="Z35" s="6">
        <v>4926.9399999999996</v>
      </c>
      <c r="AA35" s="6">
        <v>132617.1</v>
      </c>
      <c r="AB35" s="6">
        <v>1042.8399999999999</v>
      </c>
      <c r="AC35" s="3" t="s">
        <v>86</v>
      </c>
      <c r="AD35" s="3" t="s">
        <v>36</v>
      </c>
    </row>
    <row r="36" spans="1:30">
      <c r="A36" s="2">
        <v>45956</v>
      </c>
      <c r="B36" s="3" t="s">
        <v>30</v>
      </c>
      <c r="C36" s="3" t="s">
        <v>31</v>
      </c>
      <c r="D36" s="3" t="s">
        <v>32</v>
      </c>
      <c r="E36" s="3" t="s">
        <v>43</v>
      </c>
      <c r="F36" s="3" t="s">
        <v>40</v>
      </c>
      <c r="G36" s="4">
        <v>76.23</v>
      </c>
      <c r="H36" s="4">
        <v>130.62</v>
      </c>
      <c r="I36" s="4">
        <v>135.15</v>
      </c>
      <c r="J36" s="4">
        <v>8.35</v>
      </c>
      <c r="K36" s="4">
        <v>8.19</v>
      </c>
      <c r="L36" s="4">
        <v>9.4</v>
      </c>
      <c r="M36" s="4">
        <v>14.9</v>
      </c>
      <c r="N36" s="4">
        <v>121.77</v>
      </c>
      <c r="O36" s="4">
        <v>2174.4</v>
      </c>
      <c r="P36" s="5">
        <v>3.3500000000000002E-2</v>
      </c>
      <c r="Q36" s="5">
        <v>0.96650000000000003</v>
      </c>
      <c r="R36" s="5">
        <v>1.15E-2</v>
      </c>
      <c r="S36" s="5">
        <v>6.0000000000000001E-3</v>
      </c>
      <c r="T36" s="5">
        <v>0.90339999999999998</v>
      </c>
      <c r="U36" s="5">
        <v>0.92520000000000002</v>
      </c>
      <c r="V36" s="5">
        <v>1.7135</v>
      </c>
      <c r="W36" s="4">
        <v>1.0727</v>
      </c>
      <c r="X36" s="6">
        <v>117259.88</v>
      </c>
      <c r="Y36" s="6">
        <v>20366.71</v>
      </c>
      <c r="Z36" s="6">
        <v>6043.23</v>
      </c>
      <c r="AA36" s="6">
        <v>146307.79</v>
      </c>
      <c r="AB36" s="6">
        <v>1120.06</v>
      </c>
      <c r="AC36" s="3" t="s">
        <v>87</v>
      </c>
      <c r="AD36" s="3" t="s">
        <v>36</v>
      </c>
    </row>
    <row r="37" spans="1:30">
      <c r="A37" s="2">
        <v>45957</v>
      </c>
      <c r="B37" s="3" t="s">
        <v>30</v>
      </c>
      <c r="C37" s="3" t="s">
        <v>51</v>
      </c>
      <c r="D37" s="3" t="s">
        <v>38</v>
      </c>
      <c r="E37" s="3" t="s">
        <v>52</v>
      </c>
      <c r="F37" s="3" t="s">
        <v>47</v>
      </c>
      <c r="G37" s="4">
        <v>63.49</v>
      </c>
      <c r="H37" s="4">
        <v>120.91</v>
      </c>
      <c r="I37" s="4">
        <v>130.05000000000001</v>
      </c>
      <c r="J37" s="4">
        <v>7.73</v>
      </c>
      <c r="K37" s="4">
        <v>7.27</v>
      </c>
      <c r="L37" s="4">
        <v>27.4</v>
      </c>
      <c r="M37" s="4">
        <v>16.2</v>
      </c>
      <c r="N37" s="4">
        <v>117.83</v>
      </c>
      <c r="O37" s="4">
        <v>2013.9</v>
      </c>
      <c r="P37" s="5">
        <v>7.0300000000000001E-2</v>
      </c>
      <c r="Q37" s="5">
        <v>0.92969999999999997</v>
      </c>
      <c r="R37" s="5">
        <v>3.3099999999999997E-2</v>
      </c>
      <c r="S37" s="5">
        <v>1.7299999999999999E-2</v>
      </c>
      <c r="T37" s="5">
        <v>0.80510000000000004</v>
      </c>
      <c r="U37" s="5">
        <v>0.78169999999999995</v>
      </c>
      <c r="V37" s="5">
        <v>1.9045000000000001</v>
      </c>
      <c r="W37" s="4">
        <v>1.0261</v>
      </c>
      <c r="X37" s="6">
        <v>107554.24000000001</v>
      </c>
      <c r="Y37" s="6">
        <v>20178.89</v>
      </c>
      <c r="Z37" s="6">
        <v>4552.67</v>
      </c>
      <c r="AA37" s="6">
        <v>138462.54999999999</v>
      </c>
      <c r="AB37" s="6">
        <v>1145.17</v>
      </c>
      <c r="AC37" s="3" t="s">
        <v>88</v>
      </c>
      <c r="AD37" s="3" t="s">
        <v>59</v>
      </c>
    </row>
    <row r="38" spans="1:30">
      <c r="A38" s="2">
        <v>45958</v>
      </c>
      <c r="B38" s="3" t="s">
        <v>30</v>
      </c>
      <c r="C38" s="3" t="s">
        <v>51</v>
      </c>
      <c r="D38" s="3" t="s">
        <v>38</v>
      </c>
      <c r="E38" s="3" t="s">
        <v>46</v>
      </c>
      <c r="F38" s="3" t="s">
        <v>47</v>
      </c>
      <c r="G38" s="4">
        <v>90.7</v>
      </c>
      <c r="H38" s="4">
        <v>151.63</v>
      </c>
      <c r="I38" s="4">
        <v>157.78</v>
      </c>
      <c r="J38" s="4">
        <v>8.31</v>
      </c>
      <c r="K38" s="4">
        <v>7.89</v>
      </c>
      <c r="L38" s="4">
        <v>24.8</v>
      </c>
      <c r="M38" s="4">
        <v>19.8</v>
      </c>
      <c r="N38" s="4">
        <v>156.61000000000001</v>
      </c>
      <c r="O38" s="4">
        <v>2372.3000000000002</v>
      </c>
      <c r="P38" s="5">
        <v>3.9E-2</v>
      </c>
      <c r="Q38" s="5">
        <v>0.96099999999999997</v>
      </c>
      <c r="R38" s="5">
        <v>2.2700000000000001E-2</v>
      </c>
      <c r="S38" s="5">
        <v>7.1000000000000004E-3</v>
      </c>
      <c r="T38" s="5">
        <v>0.82450000000000001</v>
      </c>
      <c r="U38" s="5">
        <v>0.81679999999999997</v>
      </c>
      <c r="V38" s="5">
        <v>1.6718</v>
      </c>
      <c r="W38" s="4">
        <v>0.96819999999999995</v>
      </c>
      <c r="X38" s="6">
        <v>104494.48</v>
      </c>
      <c r="Y38" s="6">
        <v>24818.95</v>
      </c>
      <c r="Z38" s="6">
        <v>5976.25</v>
      </c>
      <c r="AA38" s="6">
        <v>139533.07999999999</v>
      </c>
      <c r="AB38" s="6">
        <v>920.24</v>
      </c>
      <c r="AC38" s="3" t="s">
        <v>89</v>
      </c>
      <c r="AD38" s="3" t="s">
        <v>36</v>
      </c>
    </row>
    <row r="39" spans="1:30">
      <c r="A39" s="2">
        <v>45959</v>
      </c>
      <c r="B39" s="3" t="s">
        <v>30</v>
      </c>
      <c r="C39" s="3" t="s">
        <v>37</v>
      </c>
      <c r="D39" s="3" t="s">
        <v>45</v>
      </c>
      <c r="E39" s="3" t="s">
        <v>46</v>
      </c>
      <c r="F39" s="3" t="s">
        <v>47</v>
      </c>
      <c r="G39" s="4">
        <v>68.150000000000006</v>
      </c>
      <c r="H39" s="4">
        <v>109.14</v>
      </c>
      <c r="I39" s="4">
        <v>114.39</v>
      </c>
      <c r="J39" s="4">
        <v>7.63</v>
      </c>
      <c r="K39" s="4">
        <v>7.21</v>
      </c>
      <c r="L39" s="4">
        <v>24.9</v>
      </c>
      <c r="M39" s="4">
        <v>19</v>
      </c>
      <c r="N39" s="4">
        <v>136.72</v>
      </c>
      <c r="O39" s="4">
        <v>1889.8</v>
      </c>
      <c r="P39" s="5">
        <v>4.5900000000000003E-2</v>
      </c>
      <c r="Q39" s="5">
        <v>0.95409999999999995</v>
      </c>
      <c r="R39" s="5">
        <v>4.41E-2</v>
      </c>
      <c r="S39" s="5">
        <v>8.8000000000000005E-3</v>
      </c>
      <c r="T39" s="5">
        <v>0.81869999999999998</v>
      </c>
      <c r="U39" s="5">
        <v>0.80569999999999997</v>
      </c>
      <c r="V39" s="5">
        <v>1.6013999999999999</v>
      </c>
      <c r="W39" s="4">
        <v>0.79830000000000001</v>
      </c>
      <c r="X39" s="6">
        <v>81308.19</v>
      </c>
      <c r="Y39" s="6">
        <v>22997.14</v>
      </c>
      <c r="Z39" s="6">
        <v>5043.93</v>
      </c>
      <c r="AA39" s="6">
        <v>114421.62</v>
      </c>
      <c r="AB39" s="6">
        <v>1048.42</v>
      </c>
      <c r="AC39" s="3" t="s">
        <v>90</v>
      </c>
      <c r="AD39" s="3" t="s">
        <v>36</v>
      </c>
    </row>
    <row r="40" spans="1:30">
      <c r="A40" s="2">
        <v>45960</v>
      </c>
      <c r="B40" s="3" t="s">
        <v>30</v>
      </c>
      <c r="C40" s="3" t="s">
        <v>51</v>
      </c>
      <c r="D40" s="3" t="s">
        <v>38</v>
      </c>
      <c r="E40" s="3" t="s">
        <v>62</v>
      </c>
      <c r="F40" s="3" t="s">
        <v>63</v>
      </c>
      <c r="G40" s="4">
        <v>143.13</v>
      </c>
      <c r="H40" s="4">
        <v>132.51</v>
      </c>
      <c r="I40" s="4">
        <v>138.94</v>
      </c>
      <c r="J40" s="4">
        <v>7.88</v>
      </c>
      <c r="K40" s="4">
        <v>7.67</v>
      </c>
      <c r="L40" s="4">
        <v>12.9</v>
      </c>
      <c r="M40" s="4">
        <v>17.399999999999999</v>
      </c>
      <c r="N40" s="4">
        <v>133.22999999999999</v>
      </c>
      <c r="O40" s="4">
        <v>2285.9</v>
      </c>
      <c r="P40" s="5">
        <v>4.6300000000000001E-2</v>
      </c>
      <c r="Q40" s="5">
        <v>0.95369999999999999</v>
      </c>
      <c r="R40" s="5">
        <v>1.4500000000000001E-2</v>
      </c>
      <c r="S40" s="5">
        <v>1.26E-2</v>
      </c>
      <c r="T40" s="5">
        <v>0.86639999999999995</v>
      </c>
      <c r="U40" s="5">
        <v>0.77039999999999997</v>
      </c>
      <c r="V40" s="5">
        <v>0.92579999999999996</v>
      </c>
      <c r="W40" s="4">
        <v>0.99460000000000004</v>
      </c>
      <c r="X40" s="6">
        <v>108113.65</v>
      </c>
      <c r="Y40" s="6">
        <v>21207.07</v>
      </c>
      <c r="Z40" s="6">
        <v>6212.2</v>
      </c>
      <c r="AA40" s="6">
        <v>141182.35</v>
      </c>
      <c r="AB40" s="6">
        <v>1065.44</v>
      </c>
      <c r="AC40" s="3" t="s">
        <v>91</v>
      </c>
      <c r="AD40" s="3" t="s">
        <v>59</v>
      </c>
    </row>
    <row r="41" spans="1:30">
      <c r="A41" s="2">
        <v>45961</v>
      </c>
      <c r="B41" s="3" t="s">
        <v>30</v>
      </c>
      <c r="C41" s="3" t="s">
        <v>31</v>
      </c>
      <c r="D41" s="3" t="s">
        <v>45</v>
      </c>
      <c r="E41" s="3" t="s">
        <v>39</v>
      </c>
      <c r="F41" s="3" t="s">
        <v>40</v>
      </c>
      <c r="G41" s="4">
        <v>85.97</v>
      </c>
      <c r="H41" s="4">
        <v>94.58</v>
      </c>
      <c r="I41" s="4">
        <v>100.53</v>
      </c>
      <c r="J41" s="4">
        <v>7.69</v>
      </c>
      <c r="K41" s="4">
        <v>7.66</v>
      </c>
      <c r="L41" s="4">
        <v>1.9</v>
      </c>
      <c r="M41" s="4">
        <v>16.2</v>
      </c>
      <c r="N41" s="4">
        <v>124.3</v>
      </c>
      <c r="O41" s="4">
        <v>1759.2</v>
      </c>
      <c r="P41" s="5">
        <v>5.9200000000000003E-2</v>
      </c>
      <c r="Q41" s="5">
        <v>0.94079999999999997</v>
      </c>
      <c r="R41" s="5">
        <v>3.3700000000000001E-2</v>
      </c>
      <c r="S41" s="5">
        <v>7.3000000000000001E-3</v>
      </c>
      <c r="T41" s="5">
        <v>0.76649999999999996</v>
      </c>
      <c r="U41" s="5">
        <v>0.79559999999999997</v>
      </c>
      <c r="V41" s="5">
        <v>1.1001000000000001</v>
      </c>
      <c r="W41" s="4">
        <v>0.76090000000000002</v>
      </c>
      <c r="X41" s="6">
        <v>64612.02</v>
      </c>
      <c r="Y41" s="6">
        <v>20353.939999999999</v>
      </c>
      <c r="Z41" s="6">
        <v>4913.3500000000004</v>
      </c>
      <c r="AA41" s="6">
        <v>93330.8</v>
      </c>
      <c r="AB41" s="6">
        <v>986.81</v>
      </c>
      <c r="AC41" s="3" t="s">
        <v>92</v>
      </c>
      <c r="AD41" s="3" t="s">
        <v>36</v>
      </c>
    </row>
    <row r="42" spans="1:30">
      <c r="A42" s="2">
        <v>45962</v>
      </c>
      <c r="B42" s="3" t="s">
        <v>30</v>
      </c>
      <c r="C42" s="3" t="s">
        <v>51</v>
      </c>
      <c r="D42" s="3" t="s">
        <v>32</v>
      </c>
      <c r="E42" s="3" t="s">
        <v>33</v>
      </c>
      <c r="F42" s="3" t="s">
        <v>34</v>
      </c>
      <c r="G42" s="4">
        <v>109.07</v>
      </c>
      <c r="H42" s="4">
        <v>166.48</v>
      </c>
      <c r="I42" s="4">
        <v>168.64</v>
      </c>
      <c r="J42" s="4">
        <v>7.38</v>
      </c>
      <c r="K42" s="4">
        <v>7.2</v>
      </c>
      <c r="L42" s="4">
        <v>11.1</v>
      </c>
      <c r="M42" s="4">
        <v>14.8</v>
      </c>
      <c r="N42" s="4">
        <v>106.83</v>
      </c>
      <c r="O42" s="4">
        <v>2690.6</v>
      </c>
      <c r="P42" s="5">
        <v>1.2800000000000001E-2</v>
      </c>
      <c r="Q42" s="5">
        <v>0.98719999999999997</v>
      </c>
      <c r="R42" s="5">
        <v>1.5900000000000001E-2</v>
      </c>
      <c r="S42" s="5">
        <v>1.9400000000000001E-2</v>
      </c>
      <c r="T42" s="5">
        <v>0.90490000000000004</v>
      </c>
      <c r="U42" s="5">
        <v>0.9083</v>
      </c>
      <c r="V42" s="5">
        <v>1.5264</v>
      </c>
      <c r="W42" s="4">
        <v>1.5584</v>
      </c>
      <c r="X42" s="6">
        <v>118638.13</v>
      </c>
      <c r="Y42" s="6">
        <v>16928.38</v>
      </c>
      <c r="Z42" s="6">
        <v>6364.24</v>
      </c>
      <c r="AA42" s="6">
        <v>148360.54999999999</v>
      </c>
      <c r="AB42" s="6">
        <v>891.15</v>
      </c>
      <c r="AC42" s="3" t="s">
        <v>93</v>
      </c>
      <c r="AD42" s="3" t="s">
        <v>36</v>
      </c>
    </row>
    <row r="43" spans="1:30">
      <c r="A43" s="2">
        <v>45963</v>
      </c>
      <c r="B43" s="3" t="s">
        <v>30</v>
      </c>
      <c r="C43" s="3" t="s">
        <v>51</v>
      </c>
      <c r="D43" s="3" t="s">
        <v>45</v>
      </c>
      <c r="E43" s="3" t="s">
        <v>43</v>
      </c>
      <c r="F43" s="3" t="s">
        <v>40</v>
      </c>
      <c r="G43" s="4">
        <v>143.61000000000001</v>
      </c>
      <c r="H43" s="4">
        <v>125.46</v>
      </c>
      <c r="I43" s="4">
        <v>130.4</v>
      </c>
      <c r="J43" s="4">
        <v>7.28</v>
      </c>
      <c r="K43" s="4">
        <v>6.88</v>
      </c>
      <c r="L43" s="4">
        <v>23.9</v>
      </c>
      <c r="M43" s="4">
        <v>19.100000000000001</v>
      </c>
      <c r="N43" s="4">
        <v>131.6</v>
      </c>
      <c r="O43" s="4">
        <v>2104.9</v>
      </c>
      <c r="P43" s="5">
        <v>3.7900000000000003E-2</v>
      </c>
      <c r="Q43" s="5">
        <v>0.96209999999999996</v>
      </c>
      <c r="R43" s="5">
        <v>1.2800000000000001E-2</v>
      </c>
      <c r="S43" s="5">
        <v>1.03E-2</v>
      </c>
      <c r="T43" s="5">
        <v>0.77829999999999999</v>
      </c>
      <c r="U43" s="5">
        <v>0.6361</v>
      </c>
      <c r="V43" s="5">
        <v>0.87370000000000003</v>
      </c>
      <c r="W43" s="4">
        <v>0.95340000000000003</v>
      </c>
      <c r="X43" s="6">
        <v>112971.25</v>
      </c>
      <c r="Y43" s="6">
        <v>20830.22</v>
      </c>
      <c r="Z43" s="6">
        <v>5107.09</v>
      </c>
      <c r="AA43" s="6">
        <v>142053.35</v>
      </c>
      <c r="AB43" s="6">
        <v>1132.22</v>
      </c>
      <c r="AC43" s="3" t="s">
        <v>94</v>
      </c>
      <c r="AD43" s="3" t="s">
        <v>49</v>
      </c>
    </row>
    <row r="44" spans="1:30">
      <c r="A44" s="2">
        <v>45964</v>
      </c>
      <c r="B44" s="3" t="s">
        <v>30</v>
      </c>
      <c r="C44" s="3" t="s">
        <v>42</v>
      </c>
      <c r="D44" s="3" t="s">
        <v>45</v>
      </c>
      <c r="E44" s="3" t="s">
        <v>62</v>
      </c>
      <c r="F44" s="3" t="s">
        <v>63</v>
      </c>
      <c r="G44" s="4">
        <v>99.75</v>
      </c>
      <c r="H44" s="4">
        <v>90.23</v>
      </c>
      <c r="I44" s="4">
        <v>94.47</v>
      </c>
      <c r="J44" s="4">
        <v>7.47</v>
      </c>
      <c r="K44" s="4">
        <v>7.26</v>
      </c>
      <c r="L44" s="4">
        <v>12.9</v>
      </c>
      <c r="M44" s="4">
        <v>14.1</v>
      </c>
      <c r="N44" s="4">
        <v>102.23</v>
      </c>
      <c r="O44" s="4">
        <v>1857.8</v>
      </c>
      <c r="P44" s="5">
        <v>4.4900000000000002E-2</v>
      </c>
      <c r="Q44" s="5">
        <v>0.95509999999999995</v>
      </c>
      <c r="R44" s="5">
        <v>2.3800000000000002E-2</v>
      </c>
      <c r="S44" s="5">
        <v>1.2500000000000001E-2</v>
      </c>
      <c r="T44" s="5">
        <v>0.84930000000000005</v>
      </c>
      <c r="U44" s="5">
        <v>0.73670000000000002</v>
      </c>
      <c r="V44" s="5">
        <v>0.90449999999999997</v>
      </c>
      <c r="W44" s="4">
        <v>0.88260000000000005</v>
      </c>
      <c r="X44" s="6">
        <v>72847</v>
      </c>
      <c r="Y44" s="6">
        <v>19107.82</v>
      </c>
      <c r="Z44" s="6">
        <v>3966.06</v>
      </c>
      <c r="AA44" s="6">
        <v>99471.2</v>
      </c>
      <c r="AB44" s="6">
        <v>1102.45</v>
      </c>
      <c r="AC44" s="3" t="s">
        <v>95</v>
      </c>
      <c r="AD44" s="3" t="s">
        <v>36</v>
      </c>
    </row>
    <row r="45" spans="1:30">
      <c r="A45" s="2">
        <v>45965</v>
      </c>
      <c r="B45" s="3" t="s">
        <v>30</v>
      </c>
      <c r="C45" s="3" t="s">
        <v>42</v>
      </c>
      <c r="D45" s="3" t="s">
        <v>32</v>
      </c>
      <c r="E45" s="3" t="s">
        <v>52</v>
      </c>
      <c r="F45" s="3" t="s">
        <v>47</v>
      </c>
      <c r="G45" s="4">
        <v>98.49</v>
      </c>
      <c r="H45" s="4">
        <v>87.41</v>
      </c>
      <c r="I45" s="4">
        <v>91.83</v>
      </c>
      <c r="J45" s="4">
        <v>7.94</v>
      </c>
      <c r="K45" s="4">
        <v>7.57</v>
      </c>
      <c r="L45" s="4">
        <v>22.1</v>
      </c>
      <c r="M45" s="4">
        <v>15</v>
      </c>
      <c r="N45" s="4">
        <v>113.27</v>
      </c>
      <c r="O45" s="4">
        <v>1780.4</v>
      </c>
      <c r="P45" s="5">
        <v>4.8099999999999997E-2</v>
      </c>
      <c r="Q45" s="5">
        <v>0.95189999999999997</v>
      </c>
      <c r="R45" s="5">
        <v>3.0000000000000001E-3</v>
      </c>
      <c r="S45" s="5">
        <v>1.6199999999999999E-2</v>
      </c>
      <c r="T45" s="5">
        <v>0.83879999999999999</v>
      </c>
      <c r="U45" s="5">
        <v>0.69830000000000003</v>
      </c>
      <c r="V45" s="5">
        <v>0.88749999999999996</v>
      </c>
      <c r="W45" s="4">
        <v>0.77170000000000005</v>
      </c>
      <c r="X45" s="6">
        <v>75437.009999999995</v>
      </c>
      <c r="Y45" s="6">
        <v>17974.099999999999</v>
      </c>
      <c r="Z45" s="6">
        <v>4977.2700000000004</v>
      </c>
      <c r="AA45" s="6">
        <v>101395.54</v>
      </c>
      <c r="AB45" s="6">
        <v>1160.03</v>
      </c>
      <c r="AC45" s="3" t="s">
        <v>96</v>
      </c>
      <c r="AD45" s="3" t="s">
        <v>36</v>
      </c>
    </row>
    <row r="46" spans="1:30">
      <c r="A46" s="2">
        <v>45966</v>
      </c>
      <c r="B46" s="3" t="s">
        <v>30</v>
      </c>
      <c r="C46" s="3" t="s">
        <v>31</v>
      </c>
      <c r="D46" s="3" t="s">
        <v>38</v>
      </c>
      <c r="E46" s="3" t="s">
        <v>52</v>
      </c>
      <c r="F46" s="3" t="s">
        <v>47</v>
      </c>
      <c r="G46" s="4">
        <v>68.739999999999995</v>
      </c>
      <c r="H46" s="4">
        <v>122.47</v>
      </c>
      <c r="I46" s="4">
        <v>132.61000000000001</v>
      </c>
      <c r="J46" s="4">
        <v>8.1999999999999993</v>
      </c>
      <c r="K46" s="4">
        <v>8.0500000000000007</v>
      </c>
      <c r="L46" s="4">
        <v>8.6999999999999993</v>
      </c>
      <c r="M46" s="4">
        <v>11.3</v>
      </c>
      <c r="N46" s="4">
        <v>91.29</v>
      </c>
      <c r="O46" s="4">
        <v>2028.4</v>
      </c>
      <c r="P46" s="5">
        <v>7.6399999999999996E-2</v>
      </c>
      <c r="Q46" s="5">
        <v>0.92359999999999998</v>
      </c>
      <c r="R46" s="5">
        <v>4.36E-2</v>
      </c>
      <c r="S46" s="5">
        <v>6.6E-3</v>
      </c>
      <c r="T46" s="5">
        <v>0.77690000000000003</v>
      </c>
      <c r="U46" s="5">
        <v>0.79600000000000004</v>
      </c>
      <c r="V46" s="5">
        <v>1.7817000000000001</v>
      </c>
      <c r="W46" s="4">
        <v>1.3414999999999999</v>
      </c>
      <c r="X46" s="6">
        <v>116690.18</v>
      </c>
      <c r="Y46" s="6">
        <v>14830.83</v>
      </c>
      <c r="Z46" s="6">
        <v>4726.0600000000004</v>
      </c>
      <c r="AA46" s="6">
        <v>142223.23000000001</v>
      </c>
      <c r="AB46" s="6">
        <v>1161.27</v>
      </c>
      <c r="AC46" s="3" t="s">
        <v>97</v>
      </c>
      <c r="AD46" s="3" t="s">
        <v>59</v>
      </c>
    </row>
    <row r="47" spans="1:30">
      <c r="A47" s="2">
        <v>45967</v>
      </c>
      <c r="B47" s="3" t="s">
        <v>30</v>
      </c>
      <c r="C47" s="3" t="s">
        <v>37</v>
      </c>
      <c r="D47" s="3" t="s">
        <v>32</v>
      </c>
      <c r="E47" s="3" t="s">
        <v>39</v>
      </c>
      <c r="F47" s="3" t="s">
        <v>40</v>
      </c>
      <c r="G47" s="4">
        <v>81.22</v>
      </c>
      <c r="H47" s="4">
        <v>136.1</v>
      </c>
      <c r="I47" s="4">
        <v>140.54</v>
      </c>
      <c r="J47" s="4">
        <v>7.65</v>
      </c>
      <c r="K47" s="4">
        <v>7.63</v>
      </c>
      <c r="L47" s="4">
        <v>1.7</v>
      </c>
      <c r="M47" s="4">
        <v>16.899999999999999</v>
      </c>
      <c r="N47" s="4">
        <v>128.83000000000001</v>
      </c>
      <c r="O47" s="4">
        <v>2170.6</v>
      </c>
      <c r="P47" s="5">
        <v>3.1600000000000003E-2</v>
      </c>
      <c r="Q47" s="5">
        <v>0.96840000000000004</v>
      </c>
      <c r="R47" s="5">
        <v>3.3300000000000003E-2</v>
      </c>
      <c r="S47" s="5">
        <v>1.6E-2</v>
      </c>
      <c r="T47" s="5">
        <v>0.88929999999999998</v>
      </c>
      <c r="U47" s="5">
        <v>0.91549999999999998</v>
      </c>
      <c r="V47" s="5">
        <v>1.6758</v>
      </c>
      <c r="W47" s="4">
        <v>1.0564</v>
      </c>
      <c r="X47" s="6">
        <v>101417.09</v>
      </c>
      <c r="Y47" s="6">
        <v>18818.82</v>
      </c>
      <c r="Z47" s="6">
        <v>5466.58</v>
      </c>
      <c r="AA47" s="6">
        <v>129059.19</v>
      </c>
      <c r="AB47" s="6">
        <v>948.26</v>
      </c>
      <c r="AC47" s="3" t="s">
        <v>98</v>
      </c>
      <c r="AD47" s="3" t="s">
        <v>36</v>
      </c>
    </row>
    <row r="48" spans="1:30">
      <c r="A48" s="2">
        <v>45968</v>
      </c>
      <c r="B48" s="3" t="s">
        <v>30</v>
      </c>
      <c r="C48" s="3" t="s">
        <v>42</v>
      </c>
      <c r="D48" s="3" t="s">
        <v>45</v>
      </c>
      <c r="E48" s="3" t="s">
        <v>39</v>
      </c>
      <c r="F48" s="3" t="s">
        <v>40</v>
      </c>
      <c r="G48" s="4">
        <v>142.58000000000001</v>
      </c>
      <c r="H48" s="4">
        <v>125.79</v>
      </c>
      <c r="I48" s="4">
        <v>130.99</v>
      </c>
      <c r="J48" s="4">
        <v>7.62</v>
      </c>
      <c r="K48" s="4">
        <v>7.54</v>
      </c>
      <c r="L48" s="4">
        <v>5</v>
      </c>
      <c r="M48" s="4">
        <v>13</v>
      </c>
      <c r="N48" s="4">
        <v>98.1</v>
      </c>
      <c r="O48" s="4">
        <v>2008.6</v>
      </c>
      <c r="P48" s="5">
        <v>3.9699999999999999E-2</v>
      </c>
      <c r="Q48" s="5">
        <v>0.96030000000000004</v>
      </c>
      <c r="R48" s="5">
        <v>4.3499999999999997E-2</v>
      </c>
      <c r="S48" s="5">
        <v>1.6899999999999998E-2</v>
      </c>
      <c r="T48" s="5">
        <v>0.89129999999999998</v>
      </c>
      <c r="U48" s="5">
        <v>0.76459999999999995</v>
      </c>
      <c r="V48" s="5">
        <v>0.88229999999999997</v>
      </c>
      <c r="W48" s="4">
        <v>1.2822</v>
      </c>
      <c r="X48" s="6">
        <v>101305.59</v>
      </c>
      <c r="Y48" s="6">
        <v>14646.9</v>
      </c>
      <c r="Z48" s="6">
        <v>5196.41</v>
      </c>
      <c r="AA48" s="6">
        <v>124635.09</v>
      </c>
      <c r="AB48" s="6">
        <v>990.8</v>
      </c>
      <c r="AC48" s="3" t="s">
        <v>99</v>
      </c>
      <c r="AD48" s="3" t="s">
        <v>56</v>
      </c>
    </row>
    <row r="49" spans="1:30">
      <c r="A49" s="2">
        <v>45969</v>
      </c>
      <c r="B49" s="3" t="s">
        <v>30</v>
      </c>
      <c r="C49" s="3" t="s">
        <v>37</v>
      </c>
      <c r="D49" s="3" t="s">
        <v>45</v>
      </c>
      <c r="E49" s="3" t="s">
        <v>33</v>
      </c>
      <c r="F49" s="3" t="s">
        <v>34</v>
      </c>
      <c r="G49" s="4">
        <v>57.59</v>
      </c>
      <c r="H49" s="4">
        <v>115.45</v>
      </c>
      <c r="I49" s="4">
        <v>122.57</v>
      </c>
      <c r="J49" s="4">
        <v>7.64</v>
      </c>
      <c r="K49" s="4">
        <v>7.57</v>
      </c>
      <c r="L49" s="4">
        <v>4.8</v>
      </c>
      <c r="M49" s="4">
        <v>16.7</v>
      </c>
      <c r="N49" s="4">
        <v>126.24</v>
      </c>
      <c r="O49" s="4">
        <v>2119.8000000000002</v>
      </c>
      <c r="P49" s="5">
        <v>5.8099999999999999E-2</v>
      </c>
      <c r="Q49" s="5">
        <v>0.94189999999999996</v>
      </c>
      <c r="R49" s="5">
        <v>2E-3</v>
      </c>
      <c r="S49" s="5">
        <v>7.4000000000000003E-3</v>
      </c>
      <c r="T49" s="5">
        <v>0.86939999999999995</v>
      </c>
      <c r="U49" s="5">
        <v>0.89670000000000005</v>
      </c>
      <c r="V49" s="5">
        <v>2.0049000000000001</v>
      </c>
      <c r="W49" s="4">
        <v>0.91459999999999997</v>
      </c>
      <c r="X49" s="6">
        <v>81133.73</v>
      </c>
      <c r="Y49" s="6">
        <v>19052.22</v>
      </c>
      <c r="Z49" s="6">
        <v>4975.1899999999996</v>
      </c>
      <c r="AA49" s="6">
        <v>110586.36</v>
      </c>
      <c r="AB49" s="6">
        <v>957.83</v>
      </c>
      <c r="AC49" s="3" t="s">
        <v>100</v>
      </c>
      <c r="AD49" s="3" t="s">
        <v>36</v>
      </c>
    </row>
    <row r="50" spans="1:30">
      <c r="A50" s="2">
        <v>45970</v>
      </c>
      <c r="B50" s="3" t="s">
        <v>30</v>
      </c>
      <c r="C50" s="3" t="s">
        <v>42</v>
      </c>
      <c r="D50" s="3" t="s">
        <v>45</v>
      </c>
      <c r="E50" s="3" t="s">
        <v>43</v>
      </c>
      <c r="F50" s="3" t="s">
        <v>40</v>
      </c>
      <c r="G50" s="4">
        <v>137.30000000000001</v>
      </c>
      <c r="H50" s="4">
        <v>140.43</v>
      </c>
      <c r="I50" s="4">
        <v>148.06</v>
      </c>
      <c r="J50" s="4">
        <v>8.01</v>
      </c>
      <c r="K50" s="4">
        <v>7.93</v>
      </c>
      <c r="L50" s="4">
        <v>4.7</v>
      </c>
      <c r="M50" s="4">
        <v>14.8</v>
      </c>
      <c r="N50" s="4">
        <v>117.66</v>
      </c>
      <c r="O50" s="4">
        <v>2331</v>
      </c>
      <c r="P50" s="5">
        <v>5.16E-2</v>
      </c>
      <c r="Q50" s="5">
        <v>0.94840000000000002</v>
      </c>
      <c r="R50" s="5">
        <v>3.04E-2</v>
      </c>
      <c r="S50" s="5">
        <v>1.34E-2</v>
      </c>
      <c r="T50" s="5">
        <v>0.79139999999999999</v>
      </c>
      <c r="U50" s="5">
        <v>0.79079999999999995</v>
      </c>
      <c r="V50" s="5">
        <v>1.0227999999999999</v>
      </c>
      <c r="W50" s="4">
        <v>1.1935</v>
      </c>
      <c r="X50" s="6">
        <v>128006.67</v>
      </c>
      <c r="Y50" s="6">
        <v>19095.16</v>
      </c>
      <c r="Z50" s="6">
        <v>5515.87</v>
      </c>
      <c r="AA50" s="6">
        <v>156663.01</v>
      </c>
      <c r="AB50" s="6">
        <v>1115.5999999999999</v>
      </c>
      <c r="AC50" s="3" t="s">
        <v>101</v>
      </c>
      <c r="AD50" s="3" t="s">
        <v>36</v>
      </c>
    </row>
    <row r="51" spans="1:30">
      <c r="A51" s="2">
        <v>45971</v>
      </c>
      <c r="B51" s="3" t="s">
        <v>30</v>
      </c>
      <c r="C51" s="3" t="s">
        <v>37</v>
      </c>
      <c r="D51" s="3" t="s">
        <v>45</v>
      </c>
      <c r="E51" s="3" t="s">
        <v>43</v>
      </c>
      <c r="F51" s="3" t="s">
        <v>40</v>
      </c>
      <c r="G51" s="4">
        <v>133.75</v>
      </c>
      <c r="H51" s="4">
        <v>103.28</v>
      </c>
      <c r="I51" s="4">
        <v>108.22</v>
      </c>
      <c r="J51" s="4">
        <v>7.95</v>
      </c>
      <c r="K51" s="4">
        <v>7.47</v>
      </c>
      <c r="L51" s="4">
        <v>28.6</v>
      </c>
      <c r="M51" s="4">
        <v>16.3</v>
      </c>
      <c r="N51" s="4">
        <v>121.48</v>
      </c>
      <c r="O51" s="4">
        <v>2138.5</v>
      </c>
      <c r="P51" s="5">
        <v>4.5699999999999998E-2</v>
      </c>
      <c r="Q51" s="5">
        <v>0.95430000000000004</v>
      </c>
      <c r="R51" s="5">
        <v>1.83E-2</v>
      </c>
      <c r="S51" s="5">
        <v>1.7399999999999999E-2</v>
      </c>
      <c r="T51" s="5">
        <v>0.77759999999999996</v>
      </c>
      <c r="U51" s="5">
        <v>0.55459999999999998</v>
      </c>
      <c r="V51" s="5">
        <v>0.77210000000000001</v>
      </c>
      <c r="W51" s="4">
        <v>0.85009999999999997</v>
      </c>
      <c r="X51" s="6">
        <v>92053.119999999995</v>
      </c>
      <c r="Y51" s="6">
        <v>20447.05</v>
      </c>
      <c r="Z51" s="6">
        <v>4640.1400000000003</v>
      </c>
      <c r="AA51" s="6">
        <v>120820.05</v>
      </c>
      <c r="AB51" s="6">
        <v>1169.8699999999999</v>
      </c>
      <c r="AC51" s="3" t="s">
        <v>102</v>
      </c>
      <c r="AD51" s="3" t="s">
        <v>36</v>
      </c>
    </row>
    <row r="52" spans="1:30">
      <c r="A52" s="2">
        <v>45972</v>
      </c>
      <c r="B52" s="3" t="s">
        <v>30</v>
      </c>
      <c r="C52" s="3" t="s">
        <v>51</v>
      </c>
      <c r="D52" s="3" t="s">
        <v>38</v>
      </c>
      <c r="E52" s="3" t="s">
        <v>43</v>
      </c>
      <c r="F52" s="3" t="s">
        <v>40</v>
      </c>
      <c r="G52" s="4">
        <v>148.91</v>
      </c>
      <c r="H52" s="4">
        <v>102.39</v>
      </c>
      <c r="I52" s="4">
        <v>108.77</v>
      </c>
      <c r="J52" s="4">
        <v>7.52</v>
      </c>
      <c r="K52" s="4">
        <v>6.92</v>
      </c>
      <c r="L52" s="4">
        <v>36.299999999999997</v>
      </c>
      <c r="M52" s="4">
        <v>16.899999999999999</v>
      </c>
      <c r="N52" s="4">
        <v>117.11</v>
      </c>
      <c r="O52" s="4">
        <v>1834.1</v>
      </c>
      <c r="P52" s="5">
        <v>5.8700000000000002E-2</v>
      </c>
      <c r="Q52" s="5">
        <v>0.94130000000000003</v>
      </c>
      <c r="R52" s="5">
        <v>5.0599999999999999E-2</v>
      </c>
      <c r="S52" s="5">
        <v>6.4000000000000003E-3</v>
      </c>
      <c r="T52" s="5">
        <v>0.77890000000000004</v>
      </c>
      <c r="U52" s="5">
        <v>0.48930000000000001</v>
      </c>
      <c r="V52" s="5">
        <v>0.68759999999999999</v>
      </c>
      <c r="W52" s="4">
        <v>0.87429999999999997</v>
      </c>
      <c r="X52" s="6">
        <v>73868.06</v>
      </c>
      <c r="Y52" s="6">
        <v>22155.7</v>
      </c>
      <c r="Z52" s="6">
        <v>4256.6000000000004</v>
      </c>
      <c r="AA52" s="6">
        <v>102893.7</v>
      </c>
      <c r="AB52" s="6">
        <v>1004.96</v>
      </c>
      <c r="AC52" s="3" t="s">
        <v>103</v>
      </c>
      <c r="AD52" s="3" t="s">
        <v>36</v>
      </c>
    </row>
    <row r="53" spans="1:30">
      <c r="A53" s="2">
        <v>45973</v>
      </c>
      <c r="B53" s="3" t="s">
        <v>30</v>
      </c>
      <c r="C53" s="3" t="s">
        <v>42</v>
      </c>
      <c r="D53" s="3" t="s">
        <v>45</v>
      </c>
      <c r="E53" s="3" t="s">
        <v>33</v>
      </c>
      <c r="F53" s="3" t="s">
        <v>34</v>
      </c>
      <c r="G53" s="4">
        <v>112.9</v>
      </c>
      <c r="H53" s="4">
        <v>85.13</v>
      </c>
      <c r="I53" s="4">
        <v>88.95</v>
      </c>
      <c r="J53" s="4">
        <v>8.26</v>
      </c>
      <c r="K53" s="4">
        <v>8.14</v>
      </c>
      <c r="L53" s="4">
        <v>7.4</v>
      </c>
      <c r="M53" s="4">
        <v>10</v>
      </c>
      <c r="N53" s="4">
        <v>81.38</v>
      </c>
      <c r="O53" s="4">
        <v>1547.4</v>
      </c>
      <c r="P53" s="5">
        <v>4.2999999999999997E-2</v>
      </c>
      <c r="Q53" s="5">
        <v>0.95699999999999996</v>
      </c>
      <c r="R53" s="5">
        <v>3.27E-2</v>
      </c>
      <c r="S53" s="5">
        <v>5.5999999999999999E-3</v>
      </c>
      <c r="T53" s="5">
        <v>0.71209999999999996</v>
      </c>
      <c r="U53" s="5">
        <v>0.52590000000000003</v>
      </c>
      <c r="V53" s="5">
        <v>0.754</v>
      </c>
      <c r="W53" s="4">
        <v>1.0461</v>
      </c>
      <c r="X53" s="6">
        <v>68643.83</v>
      </c>
      <c r="Y53" s="6">
        <v>14278.08</v>
      </c>
      <c r="Z53" s="6">
        <v>3304.55</v>
      </c>
      <c r="AA53" s="6">
        <v>90054.399999999994</v>
      </c>
      <c r="AB53" s="6">
        <v>1057.8499999999999</v>
      </c>
      <c r="AC53" s="3" t="s">
        <v>104</v>
      </c>
      <c r="AD53" s="3" t="s">
        <v>36</v>
      </c>
    </row>
    <row r="54" spans="1:30">
      <c r="A54" s="2">
        <v>45974</v>
      </c>
      <c r="B54" s="3" t="s">
        <v>30</v>
      </c>
      <c r="C54" s="3" t="s">
        <v>51</v>
      </c>
      <c r="D54" s="3" t="s">
        <v>38</v>
      </c>
      <c r="E54" s="3" t="s">
        <v>46</v>
      </c>
      <c r="F54" s="3" t="s">
        <v>47</v>
      </c>
      <c r="G54" s="4">
        <v>112.1</v>
      </c>
      <c r="H54" s="4">
        <v>118.24</v>
      </c>
      <c r="I54" s="4">
        <v>119.67</v>
      </c>
      <c r="J54" s="4">
        <v>7.24</v>
      </c>
      <c r="K54" s="4">
        <v>7.11</v>
      </c>
      <c r="L54" s="4">
        <v>7.8</v>
      </c>
      <c r="M54" s="4">
        <v>18.5</v>
      </c>
      <c r="N54" s="4">
        <v>131.44999999999999</v>
      </c>
      <c r="O54" s="4">
        <v>2136.6999999999998</v>
      </c>
      <c r="P54" s="5">
        <v>1.2E-2</v>
      </c>
      <c r="Q54" s="5">
        <v>0.98799999999999999</v>
      </c>
      <c r="R54" s="5">
        <v>2.69E-2</v>
      </c>
      <c r="S54" s="5">
        <v>1.52E-2</v>
      </c>
      <c r="T54" s="5">
        <v>0.77339999999999998</v>
      </c>
      <c r="U54" s="5">
        <v>0.78539999999999999</v>
      </c>
      <c r="V54" s="5">
        <v>1.0548</v>
      </c>
      <c r="W54" s="4">
        <v>0.89949999999999997</v>
      </c>
      <c r="X54" s="6">
        <v>94699.08</v>
      </c>
      <c r="Y54" s="6">
        <v>22733.43</v>
      </c>
      <c r="Z54" s="6">
        <v>5259.81</v>
      </c>
      <c r="AA54" s="6">
        <v>128371.92</v>
      </c>
      <c r="AB54" s="6">
        <v>1085.7</v>
      </c>
      <c r="AC54" s="3" t="s">
        <v>105</v>
      </c>
      <c r="AD54" s="3" t="s">
        <v>36</v>
      </c>
    </row>
    <row r="55" spans="1:30">
      <c r="A55" s="2">
        <v>45975</v>
      </c>
      <c r="B55" s="3" t="s">
        <v>30</v>
      </c>
      <c r="C55" s="3" t="s">
        <v>31</v>
      </c>
      <c r="D55" s="3" t="s">
        <v>38</v>
      </c>
      <c r="E55" s="3" t="s">
        <v>52</v>
      </c>
      <c r="F55" s="3" t="s">
        <v>47</v>
      </c>
      <c r="G55" s="4">
        <v>82.28</v>
      </c>
      <c r="H55" s="4">
        <v>111.63</v>
      </c>
      <c r="I55" s="4">
        <v>117.75</v>
      </c>
      <c r="J55" s="4">
        <v>7.63</v>
      </c>
      <c r="K55" s="4">
        <v>7.55</v>
      </c>
      <c r="L55" s="4">
        <v>5.2</v>
      </c>
      <c r="M55" s="4">
        <v>20.3</v>
      </c>
      <c r="N55" s="4">
        <v>153.56</v>
      </c>
      <c r="O55" s="4">
        <v>1797.5</v>
      </c>
      <c r="P55" s="5">
        <v>5.1999999999999998E-2</v>
      </c>
      <c r="Q55" s="5">
        <v>0.94799999999999995</v>
      </c>
      <c r="R55" s="5">
        <v>3.3300000000000003E-2</v>
      </c>
      <c r="S55" s="5">
        <v>9.2999999999999992E-3</v>
      </c>
      <c r="T55" s="5">
        <v>0.86499999999999999</v>
      </c>
      <c r="U55" s="5">
        <v>0.88959999999999995</v>
      </c>
      <c r="V55" s="5">
        <v>1.3567</v>
      </c>
      <c r="W55" s="4">
        <v>0.72689999999999999</v>
      </c>
      <c r="X55" s="6">
        <v>86336.59</v>
      </c>
      <c r="Y55" s="6">
        <v>29887.35</v>
      </c>
      <c r="Z55" s="6">
        <v>4100.57</v>
      </c>
      <c r="AA55" s="6">
        <v>122966.61</v>
      </c>
      <c r="AB55" s="6">
        <v>1101.5899999999999</v>
      </c>
      <c r="AC55" s="3" t="s">
        <v>106</v>
      </c>
      <c r="AD55" s="3" t="s">
        <v>36</v>
      </c>
    </row>
    <row r="56" spans="1:30">
      <c r="A56" s="2">
        <v>45976</v>
      </c>
      <c r="B56" s="3" t="s">
        <v>30</v>
      </c>
      <c r="C56" s="3" t="s">
        <v>42</v>
      </c>
      <c r="D56" s="3" t="s">
        <v>32</v>
      </c>
      <c r="E56" s="3" t="s">
        <v>33</v>
      </c>
      <c r="F56" s="3" t="s">
        <v>34</v>
      </c>
      <c r="G56" s="4">
        <v>145.44</v>
      </c>
      <c r="H56" s="4">
        <v>102.46</v>
      </c>
      <c r="I56" s="4">
        <v>104.46</v>
      </c>
      <c r="J56" s="4">
        <v>7.49</v>
      </c>
      <c r="K56" s="4">
        <v>7.43</v>
      </c>
      <c r="L56" s="4">
        <v>3.9</v>
      </c>
      <c r="M56" s="4">
        <v>10.3</v>
      </c>
      <c r="N56" s="4">
        <v>76.38</v>
      </c>
      <c r="O56" s="4">
        <v>1882.9</v>
      </c>
      <c r="P56" s="5">
        <v>1.9099999999999999E-2</v>
      </c>
      <c r="Q56" s="5">
        <v>0.98089999999999999</v>
      </c>
      <c r="R56" s="5">
        <v>7.9000000000000008E-3</v>
      </c>
      <c r="S56" s="5">
        <v>1.2500000000000001E-2</v>
      </c>
      <c r="T56" s="5">
        <v>0.79059999999999997</v>
      </c>
      <c r="U56" s="5">
        <v>0.54520000000000002</v>
      </c>
      <c r="V56" s="5">
        <v>0.70450000000000002</v>
      </c>
      <c r="W56" s="4">
        <v>1.3414999999999999</v>
      </c>
      <c r="X56" s="6">
        <v>82019.16</v>
      </c>
      <c r="Y56" s="6">
        <v>11848.5</v>
      </c>
      <c r="Z56" s="6">
        <v>4909.1899999999996</v>
      </c>
      <c r="AA56" s="6">
        <v>102810.28</v>
      </c>
      <c r="AB56" s="6">
        <v>1003.39</v>
      </c>
      <c r="AC56" s="3" t="s">
        <v>107</v>
      </c>
      <c r="AD56" s="3" t="s">
        <v>49</v>
      </c>
    </row>
    <row r="57" spans="1:30">
      <c r="A57" s="2">
        <v>45977</v>
      </c>
      <c r="B57" s="3" t="s">
        <v>30</v>
      </c>
      <c r="C57" s="3" t="s">
        <v>51</v>
      </c>
      <c r="D57" s="3" t="s">
        <v>32</v>
      </c>
      <c r="E57" s="3" t="s">
        <v>43</v>
      </c>
      <c r="F57" s="3" t="s">
        <v>40</v>
      </c>
      <c r="G57" s="4">
        <v>94.82</v>
      </c>
      <c r="H57" s="4">
        <v>117.37</v>
      </c>
      <c r="I57" s="4">
        <v>123.66</v>
      </c>
      <c r="J57" s="4">
        <v>7.39</v>
      </c>
      <c r="K57" s="4">
        <v>7.31</v>
      </c>
      <c r="L57" s="4">
        <v>5.2</v>
      </c>
      <c r="M57" s="4">
        <v>18.5</v>
      </c>
      <c r="N57" s="4">
        <v>135.24</v>
      </c>
      <c r="O57" s="4">
        <v>1966.2</v>
      </c>
      <c r="P57" s="5">
        <v>5.0900000000000001E-2</v>
      </c>
      <c r="Q57" s="5">
        <v>0.94910000000000005</v>
      </c>
      <c r="R57" s="5">
        <v>3.8600000000000002E-2</v>
      </c>
      <c r="S57" s="5">
        <v>1.23E-2</v>
      </c>
      <c r="T57" s="5">
        <v>0.87890000000000001</v>
      </c>
      <c r="U57" s="5">
        <v>0.90069999999999995</v>
      </c>
      <c r="V57" s="5">
        <v>1.2378</v>
      </c>
      <c r="W57" s="4">
        <v>0.86780000000000002</v>
      </c>
      <c r="X57" s="6">
        <v>79354.81</v>
      </c>
      <c r="Y57" s="6">
        <v>21904.98</v>
      </c>
      <c r="Z57" s="6">
        <v>5095.3</v>
      </c>
      <c r="AA57" s="6">
        <v>110019.65</v>
      </c>
      <c r="AB57" s="6">
        <v>937.4</v>
      </c>
      <c r="AC57" s="3" t="s">
        <v>108</v>
      </c>
      <c r="AD57" s="3" t="s">
        <v>59</v>
      </c>
    </row>
    <row r="58" spans="1:30">
      <c r="A58" s="2">
        <v>45978</v>
      </c>
      <c r="B58" s="3" t="s">
        <v>30</v>
      </c>
      <c r="C58" s="3" t="s">
        <v>37</v>
      </c>
      <c r="D58" s="3" t="s">
        <v>38</v>
      </c>
      <c r="E58" s="3" t="s">
        <v>46</v>
      </c>
      <c r="F58" s="3" t="s">
        <v>47</v>
      </c>
      <c r="G58" s="4">
        <v>124.13</v>
      </c>
      <c r="H58" s="4">
        <v>71.150000000000006</v>
      </c>
      <c r="I58" s="4">
        <v>73.38</v>
      </c>
      <c r="J58" s="4">
        <v>7.6</v>
      </c>
      <c r="K58" s="4">
        <v>7.33</v>
      </c>
      <c r="L58" s="4">
        <v>16.2</v>
      </c>
      <c r="M58" s="4">
        <v>17.899999999999999</v>
      </c>
      <c r="N58" s="4">
        <v>130.97</v>
      </c>
      <c r="O58" s="4">
        <v>1749.9</v>
      </c>
      <c r="P58" s="5">
        <v>3.04E-2</v>
      </c>
      <c r="Q58" s="5">
        <v>0.96960000000000002</v>
      </c>
      <c r="R58" s="5">
        <v>3.6799999999999999E-2</v>
      </c>
      <c r="S58" s="5">
        <v>1.41E-2</v>
      </c>
      <c r="T58" s="5">
        <v>0.75380000000000003</v>
      </c>
      <c r="U58" s="5">
        <v>0.4108</v>
      </c>
      <c r="V58" s="5">
        <v>0.57320000000000004</v>
      </c>
      <c r="W58" s="4">
        <v>0.54320000000000002</v>
      </c>
      <c r="X58" s="6">
        <v>53636.959999999999</v>
      </c>
      <c r="Y58" s="6">
        <v>22443.26</v>
      </c>
      <c r="Z58" s="6">
        <v>4838.66</v>
      </c>
      <c r="AA58" s="6">
        <v>85396.2</v>
      </c>
      <c r="AB58" s="6">
        <v>1200.28</v>
      </c>
      <c r="AC58" s="3" t="s">
        <v>109</v>
      </c>
      <c r="AD58" s="3" t="s">
        <v>36</v>
      </c>
    </row>
    <row r="59" spans="1:30">
      <c r="A59" s="2">
        <v>45979</v>
      </c>
      <c r="B59" s="3" t="s">
        <v>30</v>
      </c>
      <c r="C59" s="3" t="s">
        <v>51</v>
      </c>
      <c r="D59" s="3" t="s">
        <v>32</v>
      </c>
      <c r="E59" s="3" t="s">
        <v>39</v>
      </c>
      <c r="F59" s="3" t="s">
        <v>40</v>
      </c>
      <c r="G59" s="4">
        <v>58.27</v>
      </c>
      <c r="H59" s="4">
        <v>128.83000000000001</v>
      </c>
      <c r="I59" s="4">
        <v>134.19</v>
      </c>
      <c r="J59" s="4">
        <v>7.23</v>
      </c>
      <c r="K59" s="4">
        <v>7.07</v>
      </c>
      <c r="L59" s="4">
        <v>9.6999999999999993</v>
      </c>
      <c r="M59" s="4">
        <v>17.8</v>
      </c>
      <c r="N59" s="4">
        <v>125.86</v>
      </c>
      <c r="O59" s="4">
        <v>2169</v>
      </c>
      <c r="P59" s="5">
        <v>0.04</v>
      </c>
      <c r="Q59" s="5">
        <v>0.96</v>
      </c>
      <c r="R59" s="5">
        <v>2.3699999999999999E-2</v>
      </c>
      <c r="S59" s="5">
        <v>1.55E-2</v>
      </c>
      <c r="T59" s="5">
        <v>0.77329999999999999</v>
      </c>
      <c r="U59" s="5">
        <v>0.78149999999999997</v>
      </c>
      <c r="V59" s="5">
        <v>2.2109000000000001</v>
      </c>
      <c r="W59" s="4">
        <v>1.0236000000000001</v>
      </c>
      <c r="X59" s="6">
        <v>106864.32000000001</v>
      </c>
      <c r="Y59" s="6">
        <v>21787.37</v>
      </c>
      <c r="Z59" s="6">
        <v>5187.53</v>
      </c>
      <c r="AA59" s="6">
        <v>137342.35</v>
      </c>
      <c r="AB59" s="6">
        <v>1066.07</v>
      </c>
      <c r="AC59" s="3" t="s">
        <v>110</v>
      </c>
      <c r="AD59" s="3" t="s">
        <v>36</v>
      </c>
    </row>
    <row r="60" spans="1:30">
      <c r="A60" s="2">
        <v>45980</v>
      </c>
      <c r="B60" s="3" t="s">
        <v>30</v>
      </c>
      <c r="C60" s="3" t="s">
        <v>51</v>
      </c>
      <c r="D60" s="3" t="s">
        <v>32</v>
      </c>
      <c r="E60" s="3" t="s">
        <v>62</v>
      </c>
      <c r="F60" s="3" t="s">
        <v>63</v>
      </c>
      <c r="G60" s="4">
        <v>129.96</v>
      </c>
      <c r="H60" s="4">
        <v>135.34</v>
      </c>
      <c r="I60" s="4">
        <v>145.59</v>
      </c>
      <c r="J60" s="4">
        <v>7.86</v>
      </c>
      <c r="K60" s="4">
        <v>7.73</v>
      </c>
      <c r="L60" s="4">
        <v>7.6</v>
      </c>
      <c r="M60" s="4">
        <v>22</v>
      </c>
      <c r="N60" s="4">
        <v>169.78</v>
      </c>
      <c r="O60" s="4">
        <v>2256.6999999999998</v>
      </c>
      <c r="P60" s="5">
        <v>7.0400000000000004E-2</v>
      </c>
      <c r="Q60" s="5">
        <v>0.92959999999999998</v>
      </c>
      <c r="R60" s="5">
        <v>2.98E-2</v>
      </c>
      <c r="S60" s="5">
        <v>9.4999999999999998E-3</v>
      </c>
      <c r="T60" s="5">
        <v>0.96609999999999996</v>
      </c>
      <c r="U60" s="5">
        <v>0.98060000000000003</v>
      </c>
      <c r="V60" s="5">
        <v>1.0414000000000001</v>
      </c>
      <c r="W60" s="4">
        <v>0.79710000000000003</v>
      </c>
      <c r="X60" s="6">
        <v>96406.88</v>
      </c>
      <c r="Y60" s="6">
        <v>28321.94</v>
      </c>
      <c r="Z60" s="6">
        <v>5003.1400000000003</v>
      </c>
      <c r="AA60" s="6">
        <v>135589.87</v>
      </c>
      <c r="AB60" s="6">
        <v>1001.86</v>
      </c>
      <c r="AC60" s="3" t="s">
        <v>111</v>
      </c>
      <c r="AD60" s="3" t="s">
        <v>36</v>
      </c>
    </row>
    <row r="61" spans="1:30">
      <c r="A61" s="2">
        <v>45981</v>
      </c>
      <c r="B61" s="3" t="s">
        <v>30</v>
      </c>
      <c r="C61" s="3" t="s">
        <v>37</v>
      </c>
      <c r="D61" s="3" t="s">
        <v>32</v>
      </c>
      <c r="E61" s="3" t="s">
        <v>43</v>
      </c>
      <c r="F61" s="3" t="s">
        <v>40</v>
      </c>
      <c r="G61" s="4">
        <v>81.599999999999994</v>
      </c>
      <c r="H61" s="4">
        <v>105.23</v>
      </c>
      <c r="I61" s="4">
        <v>109.11</v>
      </c>
      <c r="J61" s="4">
        <v>7.23</v>
      </c>
      <c r="K61" s="4">
        <v>6.88</v>
      </c>
      <c r="L61" s="4">
        <v>21</v>
      </c>
      <c r="M61" s="4">
        <v>17.2</v>
      </c>
      <c r="N61" s="4">
        <v>118.57</v>
      </c>
      <c r="O61" s="4">
        <v>2031.8</v>
      </c>
      <c r="P61" s="5">
        <v>3.56E-2</v>
      </c>
      <c r="Q61" s="5">
        <v>0.96440000000000003</v>
      </c>
      <c r="R61" s="5">
        <v>3.4700000000000002E-2</v>
      </c>
      <c r="S61" s="5">
        <v>1.1299999999999999E-2</v>
      </c>
      <c r="T61" s="5">
        <v>0.91379999999999995</v>
      </c>
      <c r="U61" s="5">
        <v>0.90280000000000005</v>
      </c>
      <c r="V61" s="5">
        <v>1.2896000000000001</v>
      </c>
      <c r="W61" s="4">
        <v>0.88749999999999996</v>
      </c>
      <c r="X61" s="6">
        <v>69800.42</v>
      </c>
      <c r="Y61" s="6">
        <v>18642.240000000002</v>
      </c>
      <c r="Z61" s="6">
        <v>4219.2299999999996</v>
      </c>
      <c r="AA61" s="6">
        <v>97674.34</v>
      </c>
      <c r="AB61" s="6">
        <v>928.22</v>
      </c>
      <c r="AC61" s="3" t="s">
        <v>112</v>
      </c>
      <c r="AD61" s="3" t="s">
        <v>49</v>
      </c>
    </row>
    <row r="62" spans="1:30">
      <c r="A62" s="2">
        <v>45982</v>
      </c>
      <c r="B62" s="3" t="s">
        <v>30</v>
      </c>
      <c r="C62" s="3" t="s">
        <v>31</v>
      </c>
      <c r="D62" s="3" t="s">
        <v>32</v>
      </c>
      <c r="E62" s="3" t="s">
        <v>39</v>
      </c>
      <c r="F62" s="3" t="s">
        <v>40</v>
      </c>
      <c r="G62" s="4">
        <v>102.51</v>
      </c>
      <c r="H62" s="4">
        <v>115.08</v>
      </c>
      <c r="I62" s="4">
        <v>124.23</v>
      </c>
      <c r="J62" s="4">
        <v>8.33</v>
      </c>
      <c r="K62" s="4">
        <v>8.26</v>
      </c>
      <c r="L62" s="4">
        <v>3.8</v>
      </c>
      <c r="M62" s="4">
        <v>10</v>
      </c>
      <c r="N62" s="4">
        <v>82.63</v>
      </c>
      <c r="O62" s="4">
        <v>2290.6999999999998</v>
      </c>
      <c r="P62" s="5">
        <v>7.3700000000000002E-2</v>
      </c>
      <c r="Q62" s="5">
        <v>0.92630000000000001</v>
      </c>
      <c r="R62" s="5">
        <v>3.5200000000000002E-2</v>
      </c>
      <c r="S62" s="5">
        <v>2.3199999999999998E-2</v>
      </c>
      <c r="T62" s="5">
        <v>0.80310000000000004</v>
      </c>
      <c r="U62" s="5">
        <v>0.8175</v>
      </c>
      <c r="V62" s="5">
        <v>1.1226</v>
      </c>
      <c r="W62" s="4">
        <v>1.3927</v>
      </c>
      <c r="X62" s="6">
        <v>96781.77</v>
      </c>
      <c r="Y62" s="6">
        <v>14670.54</v>
      </c>
      <c r="Z62" s="6">
        <v>5441.5</v>
      </c>
      <c r="AA62" s="6">
        <v>122408.23</v>
      </c>
      <c r="AB62" s="6">
        <v>1063.7</v>
      </c>
      <c r="AC62" s="3" t="s">
        <v>113</v>
      </c>
      <c r="AD62" s="3" t="s">
        <v>36</v>
      </c>
    </row>
    <row r="63" spans="1:30">
      <c r="A63" s="2">
        <v>45983</v>
      </c>
      <c r="B63" s="3" t="s">
        <v>30</v>
      </c>
      <c r="C63" s="3" t="s">
        <v>42</v>
      </c>
      <c r="D63" s="3" t="s">
        <v>38</v>
      </c>
      <c r="E63" s="3" t="s">
        <v>52</v>
      </c>
      <c r="F63" s="3" t="s">
        <v>47</v>
      </c>
      <c r="G63" s="4">
        <v>56.78</v>
      </c>
      <c r="H63" s="4">
        <v>106.38</v>
      </c>
      <c r="I63" s="4">
        <v>113.61</v>
      </c>
      <c r="J63" s="4">
        <v>8.11</v>
      </c>
      <c r="K63" s="4">
        <v>7.77</v>
      </c>
      <c r="L63" s="4">
        <v>20.9</v>
      </c>
      <c r="M63" s="4">
        <v>21.6</v>
      </c>
      <c r="N63" s="4">
        <v>168.08</v>
      </c>
      <c r="O63" s="4">
        <v>2074.6999999999998</v>
      </c>
      <c r="P63" s="5">
        <v>6.3600000000000004E-2</v>
      </c>
      <c r="Q63" s="5">
        <v>0.93640000000000001</v>
      </c>
      <c r="R63" s="5">
        <v>2.9100000000000001E-2</v>
      </c>
      <c r="S63" s="5">
        <v>7.4999999999999997E-3</v>
      </c>
      <c r="T63" s="5">
        <v>0.79610000000000003</v>
      </c>
      <c r="U63" s="5">
        <v>0.79400000000000004</v>
      </c>
      <c r="V63" s="5">
        <v>1.8734999999999999</v>
      </c>
      <c r="W63" s="4">
        <v>0.63290000000000002</v>
      </c>
      <c r="X63" s="6">
        <v>76978.91</v>
      </c>
      <c r="Y63" s="6">
        <v>32628.1</v>
      </c>
      <c r="Z63" s="6">
        <v>5605.16</v>
      </c>
      <c r="AA63" s="6">
        <v>119311.36</v>
      </c>
      <c r="AB63" s="6">
        <v>1121.55</v>
      </c>
      <c r="AC63" s="3" t="s">
        <v>114</v>
      </c>
      <c r="AD63" s="3" t="s">
        <v>36</v>
      </c>
    </row>
    <row r="64" spans="1:30">
      <c r="A64" s="2">
        <v>45984</v>
      </c>
      <c r="B64" s="3" t="s">
        <v>30</v>
      </c>
      <c r="C64" s="3" t="s">
        <v>37</v>
      </c>
      <c r="D64" s="3" t="s">
        <v>32</v>
      </c>
      <c r="E64" s="3" t="s">
        <v>33</v>
      </c>
      <c r="F64" s="3" t="s">
        <v>34</v>
      </c>
      <c r="G64" s="4">
        <v>146.77000000000001</v>
      </c>
      <c r="H64" s="4">
        <v>110.51</v>
      </c>
      <c r="I64" s="4">
        <v>113.65</v>
      </c>
      <c r="J64" s="4">
        <v>7.27</v>
      </c>
      <c r="K64" s="4">
        <v>7.07</v>
      </c>
      <c r="L64" s="4">
        <v>12.4</v>
      </c>
      <c r="M64" s="4">
        <v>14.3</v>
      </c>
      <c r="N64" s="4">
        <v>101.27</v>
      </c>
      <c r="O64" s="4">
        <v>1962.2</v>
      </c>
      <c r="P64" s="5">
        <v>2.7699999999999999E-2</v>
      </c>
      <c r="Q64" s="5">
        <v>0.97230000000000005</v>
      </c>
      <c r="R64" s="5">
        <v>3.3000000000000002E-2</v>
      </c>
      <c r="S64" s="5">
        <v>8.2000000000000007E-3</v>
      </c>
      <c r="T64" s="5">
        <v>0.77810000000000001</v>
      </c>
      <c r="U64" s="5">
        <v>0.56459999999999999</v>
      </c>
      <c r="V64" s="5">
        <v>0.75290000000000001</v>
      </c>
      <c r="W64" s="4">
        <v>1.0911999999999999</v>
      </c>
      <c r="X64" s="6">
        <v>91101.04</v>
      </c>
      <c r="Y64" s="6">
        <v>18840.71</v>
      </c>
      <c r="Z64" s="6">
        <v>4328.54</v>
      </c>
      <c r="AA64" s="6">
        <v>118990.97</v>
      </c>
      <c r="AB64" s="6">
        <v>1076.78</v>
      </c>
      <c r="AC64" s="3" t="s">
        <v>115</v>
      </c>
      <c r="AD64" s="3" t="s">
        <v>36</v>
      </c>
    </row>
    <row r="65" spans="1:30">
      <c r="A65" s="2">
        <v>45985</v>
      </c>
      <c r="B65" s="3" t="s">
        <v>30</v>
      </c>
      <c r="C65" s="3" t="s">
        <v>37</v>
      </c>
      <c r="D65" s="3" t="s">
        <v>45</v>
      </c>
      <c r="E65" s="3" t="s">
        <v>62</v>
      </c>
      <c r="F65" s="3" t="s">
        <v>63</v>
      </c>
      <c r="G65" s="4">
        <v>119.83</v>
      </c>
      <c r="H65" s="4">
        <v>89.41</v>
      </c>
      <c r="I65" s="4">
        <v>93.24</v>
      </c>
      <c r="J65" s="4">
        <v>7.33</v>
      </c>
      <c r="K65" s="4">
        <v>6.91</v>
      </c>
      <c r="L65" s="4">
        <v>25.2</v>
      </c>
      <c r="M65" s="4">
        <v>16.3</v>
      </c>
      <c r="N65" s="4">
        <v>112.9</v>
      </c>
      <c r="O65" s="4">
        <v>1896.4</v>
      </c>
      <c r="P65" s="5">
        <v>4.1099999999999998E-2</v>
      </c>
      <c r="Q65" s="5">
        <v>0.95889999999999997</v>
      </c>
      <c r="R65" s="5">
        <v>3.2800000000000003E-2</v>
      </c>
      <c r="S65" s="5">
        <v>2.76E-2</v>
      </c>
      <c r="T65" s="5">
        <v>0.81830000000000003</v>
      </c>
      <c r="U65" s="5">
        <v>0.55959999999999999</v>
      </c>
      <c r="V65" s="5">
        <v>0.74609999999999999</v>
      </c>
      <c r="W65" s="4">
        <v>0.79190000000000005</v>
      </c>
      <c r="X65" s="6">
        <v>77756.53</v>
      </c>
      <c r="Y65" s="6">
        <v>16544.03</v>
      </c>
      <c r="Z65" s="6">
        <v>3966.38</v>
      </c>
      <c r="AA65" s="6">
        <v>103179.8</v>
      </c>
      <c r="AB65" s="6">
        <v>1154.05</v>
      </c>
      <c r="AC65" s="3" t="s">
        <v>116</v>
      </c>
      <c r="AD65" s="3" t="s">
        <v>59</v>
      </c>
    </row>
    <row r="66" spans="1:30">
      <c r="A66" s="2">
        <v>45986</v>
      </c>
      <c r="B66" s="3" t="s">
        <v>30</v>
      </c>
      <c r="C66" s="3" t="s">
        <v>31</v>
      </c>
      <c r="D66" s="3" t="s">
        <v>32</v>
      </c>
      <c r="E66" s="3" t="s">
        <v>46</v>
      </c>
      <c r="F66" s="3" t="s">
        <v>47</v>
      </c>
      <c r="G66" s="4">
        <v>91.25</v>
      </c>
      <c r="H66" s="4">
        <v>148.61000000000001</v>
      </c>
      <c r="I66" s="4">
        <v>154.18</v>
      </c>
      <c r="J66" s="4">
        <v>7.97</v>
      </c>
      <c r="K66" s="4">
        <v>7.64</v>
      </c>
      <c r="L66" s="4">
        <v>19.7</v>
      </c>
      <c r="M66" s="4">
        <v>11.6</v>
      </c>
      <c r="N66" s="4">
        <v>88.71</v>
      </c>
      <c r="O66" s="4">
        <v>2394.8000000000002</v>
      </c>
      <c r="P66" s="5">
        <v>3.61E-2</v>
      </c>
      <c r="Q66" s="5">
        <v>0.96389999999999998</v>
      </c>
      <c r="R66" s="5">
        <v>2.3900000000000001E-2</v>
      </c>
      <c r="S66" s="5">
        <v>7.6E-3</v>
      </c>
      <c r="T66" s="5">
        <v>0.97650000000000003</v>
      </c>
      <c r="U66" s="5">
        <v>0.97550000000000003</v>
      </c>
      <c r="V66" s="5">
        <v>1.6287</v>
      </c>
      <c r="W66" s="4">
        <v>1.6753</v>
      </c>
      <c r="X66" s="6">
        <v>127116.14</v>
      </c>
      <c r="Y66" s="6">
        <v>15491</v>
      </c>
      <c r="Z66" s="6">
        <v>5520.89</v>
      </c>
      <c r="AA66" s="6">
        <v>151895.20000000001</v>
      </c>
      <c r="AB66" s="6">
        <v>1022.07</v>
      </c>
      <c r="AC66" s="3" t="s">
        <v>117</v>
      </c>
      <c r="AD66" s="3" t="s">
        <v>36</v>
      </c>
    </row>
    <row r="67" spans="1:30">
      <c r="A67" s="2">
        <v>45987</v>
      </c>
      <c r="B67" s="3" t="s">
        <v>30</v>
      </c>
      <c r="C67" s="3" t="s">
        <v>42</v>
      </c>
      <c r="D67" s="3" t="s">
        <v>38</v>
      </c>
      <c r="E67" s="3" t="s">
        <v>52</v>
      </c>
      <c r="F67" s="3" t="s">
        <v>47</v>
      </c>
      <c r="G67" s="4">
        <v>94.57</v>
      </c>
      <c r="H67" s="4">
        <v>109.83</v>
      </c>
      <c r="I67" s="4">
        <v>116.92</v>
      </c>
      <c r="J67" s="4">
        <v>7.85</v>
      </c>
      <c r="K67" s="4">
        <v>7.59</v>
      </c>
      <c r="L67" s="4">
        <v>15.3</v>
      </c>
      <c r="M67" s="4">
        <v>13.5</v>
      </c>
      <c r="N67" s="4">
        <v>102.45</v>
      </c>
      <c r="O67" s="4">
        <v>1935.7</v>
      </c>
      <c r="P67" s="5">
        <v>6.0600000000000001E-2</v>
      </c>
      <c r="Q67" s="5">
        <v>0.93940000000000001</v>
      </c>
      <c r="R67" s="5">
        <v>2.93E-2</v>
      </c>
      <c r="S67" s="5">
        <v>1.8599999999999998E-2</v>
      </c>
      <c r="T67" s="5">
        <v>0.79530000000000001</v>
      </c>
      <c r="U67" s="5">
        <v>0.79279999999999995</v>
      </c>
      <c r="V67" s="5">
        <v>1.1613</v>
      </c>
      <c r="W67" s="4">
        <v>1.0721000000000001</v>
      </c>
      <c r="X67" s="6">
        <v>98876.46</v>
      </c>
      <c r="Y67" s="6">
        <v>17458.330000000002</v>
      </c>
      <c r="Z67" s="6">
        <v>4060.03</v>
      </c>
      <c r="AA67" s="6">
        <v>124289.23</v>
      </c>
      <c r="AB67" s="6">
        <v>1131.6400000000001</v>
      </c>
      <c r="AC67" s="3" t="s">
        <v>118</v>
      </c>
      <c r="AD67" s="3" t="s">
        <v>36</v>
      </c>
    </row>
    <row r="68" spans="1:30">
      <c r="A68" s="2">
        <v>45988</v>
      </c>
      <c r="B68" s="3" t="s">
        <v>30</v>
      </c>
      <c r="C68" s="3" t="s">
        <v>31</v>
      </c>
      <c r="D68" s="3" t="s">
        <v>45</v>
      </c>
      <c r="E68" s="3" t="s">
        <v>39</v>
      </c>
      <c r="F68" s="3" t="s">
        <v>40</v>
      </c>
      <c r="G68" s="4">
        <v>74.010000000000005</v>
      </c>
      <c r="H68" s="4">
        <v>99.97</v>
      </c>
      <c r="I68" s="4">
        <v>108.36</v>
      </c>
      <c r="J68" s="4">
        <v>7.56</v>
      </c>
      <c r="K68" s="4">
        <v>7.36</v>
      </c>
      <c r="L68" s="4">
        <v>12.2</v>
      </c>
      <c r="M68" s="4">
        <v>16.100000000000001</v>
      </c>
      <c r="N68" s="4">
        <v>118.29</v>
      </c>
      <c r="O68" s="4">
        <v>1822.5</v>
      </c>
      <c r="P68" s="5">
        <v>7.7399999999999997E-2</v>
      </c>
      <c r="Q68" s="5">
        <v>0.92259999999999998</v>
      </c>
      <c r="R68" s="5">
        <v>3.5299999999999998E-2</v>
      </c>
      <c r="S68" s="5">
        <v>5.3E-3</v>
      </c>
      <c r="T68" s="5">
        <v>0.78520000000000001</v>
      </c>
      <c r="U68" s="5">
        <v>0.79820000000000002</v>
      </c>
      <c r="V68" s="5">
        <v>1.3508</v>
      </c>
      <c r="W68" s="4">
        <v>0.84509999999999996</v>
      </c>
      <c r="X68" s="6">
        <v>68577.61</v>
      </c>
      <c r="Y68" s="6">
        <v>20072.599999999999</v>
      </c>
      <c r="Z68" s="6">
        <v>4280.5</v>
      </c>
      <c r="AA68" s="6">
        <v>95951.33</v>
      </c>
      <c r="AB68" s="6">
        <v>959.83</v>
      </c>
      <c r="AC68" s="3" t="s">
        <v>119</v>
      </c>
      <c r="AD68" s="3" t="s">
        <v>36</v>
      </c>
    </row>
    <row r="69" spans="1:30">
      <c r="A69" s="2">
        <v>45989</v>
      </c>
      <c r="B69" s="3" t="s">
        <v>30</v>
      </c>
      <c r="C69" s="3" t="s">
        <v>42</v>
      </c>
      <c r="D69" s="3" t="s">
        <v>45</v>
      </c>
      <c r="E69" s="3" t="s">
        <v>62</v>
      </c>
      <c r="F69" s="3" t="s">
        <v>63</v>
      </c>
      <c r="G69" s="4">
        <v>118.71</v>
      </c>
      <c r="H69" s="4">
        <v>98.97</v>
      </c>
      <c r="I69" s="4">
        <v>103.54</v>
      </c>
      <c r="J69" s="4">
        <v>8.35</v>
      </c>
      <c r="K69" s="4">
        <v>8.17</v>
      </c>
      <c r="L69" s="4">
        <v>11.3</v>
      </c>
      <c r="M69" s="4">
        <v>17.5</v>
      </c>
      <c r="N69" s="4">
        <v>142.91</v>
      </c>
      <c r="O69" s="4">
        <v>1839.5</v>
      </c>
      <c r="P69" s="5">
        <v>4.4200000000000003E-2</v>
      </c>
      <c r="Q69" s="5">
        <v>0.95579999999999998</v>
      </c>
      <c r="R69" s="5">
        <v>3.5799999999999998E-2</v>
      </c>
      <c r="S69" s="5">
        <v>1.2E-2</v>
      </c>
      <c r="T69" s="5">
        <v>0.7661</v>
      </c>
      <c r="U69" s="5">
        <v>0.61670000000000003</v>
      </c>
      <c r="V69" s="5">
        <v>0.8337</v>
      </c>
      <c r="W69" s="4">
        <v>0.6925</v>
      </c>
      <c r="X69" s="6">
        <v>67129.38</v>
      </c>
      <c r="Y69" s="6">
        <v>26916.77</v>
      </c>
      <c r="Z69" s="6">
        <v>3950.59</v>
      </c>
      <c r="AA69" s="6">
        <v>102073.22</v>
      </c>
      <c r="AB69" s="6">
        <v>1031.3800000000001</v>
      </c>
      <c r="AC69" s="3" t="s">
        <v>120</v>
      </c>
      <c r="AD69" s="3" t="s">
        <v>36</v>
      </c>
    </row>
    <row r="70" spans="1:30">
      <c r="A70" s="2">
        <v>45990</v>
      </c>
      <c r="B70" s="3" t="s">
        <v>30</v>
      </c>
      <c r="C70" s="3" t="s">
        <v>51</v>
      </c>
      <c r="D70" s="3" t="s">
        <v>32</v>
      </c>
      <c r="E70" s="3" t="s">
        <v>46</v>
      </c>
      <c r="F70" s="3" t="s">
        <v>47</v>
      </c>
      <c r="G70" s="4">
        <v>65.05</v>
      </c>
      <c r="H70" s="4">
        <v>102.81</v>
      </c>
      <c r="I70" s="4">
        <v>114.39</v>
      </c>
      <c r="J70" s="4">
        <v>7.38</v>
      </c>
      <c r="K70" s="4">
        <v>7.29</v>
      </c>
      <c r="L70" s="4">
        <v>5.5</v>
      </c>
      <c r="M70" s="4">
        <v>15.7</v>
      </c>
      <c r="N70" s="4">
        <v>114.55</v>
      </c>
      <c r="O70" s="4">
        <v>2005.8</v>
      </c>
      <c r="P70" s="5">
        <v>0.1012</v>
      </c>
      <c r="Q70" s="5">
        <v>0.89880000000000004</v>
      </c>
      <c r="R70" s="5">
        <v>2.6700000000000002E-2</v>
      </c>
      <c r="S70" s="5">
        <v>1E-3</v>
      </c>
      <c r="T70" s="5">
        <v>0.61250000000000004</v>
      </c>
      <c r="U70" s="5">
        <v>0.63439999999999996</v>
      </c>
      <c r="V70" s="5">
        <v>1.5805</v>
      </c>
      <c r="W70" s="4">
        <v>0.89749999999999996</v>
      </c>
      <c r="X70" s="6">
        <v>85101.28</v>
      </c>
      <c r="Y70" s="6">
        <v>22145.53</v>
      </c>
      <c r="Z70" s="6">
        <v>5133.84</v>
      </c>
      <c r="AA70" s="6">
        <v>116713.37</v>
      </c>
      <c r="AB70" s="6">
        <v>1135.18</v>
      </c>
      <c r="AC70" s="3" t="s">
        <v>121</v>
      </c>
      <c r="AD70" s="3" t="s">
        <v>36</v>
      </c>
    </row>
    <row r="71" spans="1:30">
      <c r="A71" s="2">
        <v>45991</v>
      </c>
      <c r="B71" s="3" t="s">
        <v>30</v>
      </c>
      <c r="C71" s="3" t="s">
        <v>31</v>
      </c>
      <c r="D71" s="3" t="s">
        <v>32</v>
      </c>
      <c r="E71" s="3" t="s">
        <v>33</v>
      </c>
      <c r="F71" s="3" t="s">
        <v>34</v>
      </c>
      <c r="G71" s="4">
        <v>130.11000000000001</v>
      </c>
      <c r="H71" s="4">
        <v>140.29</v>
      </c>
      <c r="I71" s="4">
        <v>148.9</v>
      </c>
      <c r="J71" s="4">
        <v>7.58</v>
      </c>
      <c r="K71" s="4">
        <v>7.47</v>
      </c>
      <c r="L71" s="4">
        <v>6.6</v>
      </c>
      <c r="M71" s="4">
        <v>16</v>
      </c>
      <c r="N71" s="4">
        <v>119.41</v>
      </c>
      <c r="O71" s="4">
        <v>2184.3000000000002</v>
      </c>
      <c r="P71" s="5">
        <v>5.7799999999999997E-2</v>
      </c>
      <c r="Q71" s="5">
        <v>0.94220000000000004</v>
      </c>
      <c r="R71" s="5">
        <v>5.7999999999999996E-3</v>
      </c>
      <c r="S71" s="5">
        <v>9.7999999999999997E-3</v>
      </c>
      <c r="T71" s="5">
        <v>0.88849999999999996</v>
      </c>
      <c r="U71" s="5">
        <v>0.91039999999999999</v>
      </c>
      <c r="V71" s="5">
        <v>1.0783</v>
      </c>
      <c r="W71" s="4">
        <v>1.1748000000000001</v>
      </c>
      <c r="X71" s="6">
        <v>99010.559999999998</v>
      </c>
      <c r="Y71" s="6">
        <v>19940.939999999999</v>
      </c>
      <c r="Z71" s="6">
        <v>4398.96</v>
      </c>
      <c r="AA71" s="6">
        <v>128232.46</v>
      </c>
      <c r="AB71" s="6">
        <v>914.06</v>
      </c>
      <c r="AC71" s="3" t="s">
        <v>122</v>
      </c>
      <c r="AD71" s="3" t="s">
        <v>36</v>
      </c>
    </row>
    <row r="72" spans="1:30">
      <c r="A72" s="2">
        <v>45992</v>
      </c>
      <c r="B72" s="3" t="s">
        <v>30</v>
      </c>
      <c r="C72" s="3" t="s">
        <v>37</v>
      </c>
      <c r="D72" s="3" t="s">
        <v>38</v>
      </c>
      <c r="E72" s="3" t="s">
        <v>52</v>
      </c>
      <c r="F72" s="3" t="s">
        <v>47</v>
      </c>
      <c r="G72" s="4">
        <v>86.08</v>
      </c>
      <c r="H72" s="4">
        <v>126.75</v>
      </c>
      <c r="I72" s="4">
        <v>134.19999999999999</v>
      </c>
      <c r="J72" s="4">
        <v>8.01</v>
      </c>
      <c r="K72" s="4">
        <v>7.82</v>
      </c>
      <c r="L72" s="4">
        <v>11.3</v>
      </c>
      <c r="M72" s="4">
        <v>15.5</v>
      </c>
      <c r="N72" s="4">
        <v>121.52</v>
      </c>
      <c r="O72" s="4">
        <v>2142</v>
      </c>
      <c r="P72" s="5">
        <v>5.5500000000000001E-2</v>
      </c>
      <c r="Q72" s="5">
        <v>0.94450000000000001</v>
      </c>
      <c r="R72" s="5">
        <v>5.3800000000000001E-2</v>
      </c>
      <c r="S72" s="5">
        <v>2.3900000000000001E-2</v>
      </c>
      <c r="T72" s="5">
        <v>0.93400000000000005</v>
      </c>
      <c r="U72" s="5">
        <v>0.93469999999999998</v>
      </c>
      <c r="V72" s="5">
        <v>1.4724999999999999</v>
      </c>
      <c r="W72" s="4">
        <v>1.0429999999999999</v>
      </c>
      <c r="X72" s="6">
        <v>102330.23</v>
      </c>
      <c r="Y72" s="6">
        <v>20544.849999999999</v>
      </c>
      <c r="Z72" s="6">
        <v>4877.57</v>
      </c>
      <c r="AA72" s="6">
        <v>134171.35999999999</v>
      </c>
      <c r="AB72" s="6">
        <v>1058.54</v>
      </c>
      <c r="AC72" s="3" t="s">
        <v>123</v>
      </c>
      <c r="AD72" s="3" t="s">
        <v>59</v>
      </c>
    </row>
    <row r="73" spans="1:30">
      <c r="A73" s="2">
        <v>45993</v>
      </c>
      <c r="B73" s="3" t="s">
        <v>30</v>
      </c>
      <c r="C73" s="3" t="s">
        <v>37</v>
      </c>
      <c r="D73" s="3" t="s">
        <v>32</v>
      </c>
      <c r="E73" s="3" t="s">
        <v>39</v>
      </c>
      <c r="F73" s="3" t="s">
        <v>40</v>
      </c>
      <c r="G73" s="4">
        <v>63.97</v>
      </c>
      <c r="H73" s="4">
        <v>137.4</v>
      </c>
      <c r="I73" s="4">
        <v>145.16</v>
      </c>
      <c r="J73" s="4">
        <v>7.55</v>
      </c>
      <c r="K73" s="4">
        <v>7.31</v>
      </c>
      <c r="L73" s="4">
        <v>14.4</v>
      </c>
      <c r="M73" s="4">
        <v>18.899999999999999</v>
      </c>
      <c r="N73" s="4">
        <v>137.99</v>
      </c>
      <c r="O73" s="4">
        <v>2416.9</v>
      </c>
      <c r="P73" s="5">
        <v>5.3499999999999999E-2</v>
      </c>
      <c r="Q73" s="5">
        <v>0.94650000000000001</v>
      </c>
      <c r="R73" s="5">
        <v>3.09E-2</v>
      </c>
      <c r="S73" s="5">
        <v>1.9800000000000002E-2</v>
      </c>
      <c r="T73" s="5">
        <v>0.82230000000000003</v>
      </c>
      <c r="U73" s="5">
        <v>0.81940000000000002</v>
      </c>
      <c r="V73" s="5">
        <v>2.1478000000000002</v>
      </c>
      <c r="W73" s="4">
        <v>0.99570000000000003</v>
      </c>
      <c r="X73" s="6">
        <v>97381.56</v>
      </c>
      <c r="Y73" s="6">
        <v>24622.11</v>
      </c>
      <c r="Z73" s="6">
        <v>6434.45</v>
      </c>
      <c r="AA73" s="6">
        <v>133118.03</v>
      </c>
      <c r="AB73" s="6">
        <v>968.85</v>
      </c>
      <c r="AC73" s="3" t="s">
        <v>124</v>
      </c>
      <c r="AD73" s="3" t="s">
        <v>36</v>
      </c>
    </row>
    <row r="74" spans="1:30">
      <c r="A74" s="2">
        <v>45994</v>
      </c>
      <c r="B74" s="3" t="s">
        <v>30</v>
      </c>
      <c r="C74" s="3" t="s">
        <v>51</v>
      </c>
      <c r="D74" s="3" t="s">
        <v>45</v>
      </c>
      <c r="E74" s="3" t="s">
        <v>33</v>
      </c>
      <c r="F74" s="3" t="s">
        <v>34</v>
      </c>
      <c r="G74" s="4">
        <v>135.03</v>
      </c>
      <c r="H74" s="4">
        <v>161.13</v>
      </c>
      <c r="I74" s="4">
        <v>171.68</v>
      </c>
      <c r="J74" s="4">
        <v>7.92</v>
      </c>
      <c r="K74" s="4">
        <v>7.85</v>
      </c>
      <c r="L74" s="4">
        <v>3.8</v>
      </c>
      <c r="M74" s="4">
        <v>23.3</v>
      </c>
      <c r="N74" s="4">
        <v>183.21</v>
      </c>
      <c r="O74" s="4">
        <v>2576.5</v>
      </c>
      <c r="P74" s="5">
        <v>6.1400000000000003E-2</v>
      </c>
      <c r="Q74" s="5">
        <v>0.93859999999999999</v>
      </c>
      <c r="R74" s="5">
        <v>1.46E-2</v>
      </c>
      <c r="S74" s="5">
        <v>7.1999999999999998E-3</v>
      </c>
      <c r="T74" s="5">
        <v>0.92290000000000005</v>
      </c>
      <c r="U74" s="5">
        <v>0.95450000000000002</v>
      </c>
      <c r="V74" s="5">
        <v>1.1933</v>
      </c>
      <c r="W74" s="4">
        <v>0.87949999999999995</v>
      </c>
      <c r="X74" s="6">
        <v>149803.24</v>
      </c>
      <c r="Y74" s="6">
        <v>34654.49</v>
      </c>
      <c r="Z74" s="6">
        <v>6424.93</v>
      </c>
      <c r="AA74" s="6">
        <v>194519.53</v>
      </c>
      <c r="AB74" s="6">
        <v>1207.22</v>
      </c>
      <c r="AC74" s="3" t="s">
        <v>125</v>
      </c>
      <c r="AD74" s="3" t="s">
        <v>36</v>
      </c>
    </row>
    <row r="75" spans="1:30">
      <c r="A75" s="2">
        <v>45995</v>
      </c>
      <c r="B75" s="3" t="s">
        <v>30</v>
      </c>
      <c r="C75" s="3" t="s">
        <v>42</v>
      </c>
      <c r="D75" s="3" t="s">
        <v>38</v>
      </c>
      <c r="E75" s="3" t="s">
        <v>33</v>
      </c>
      <c r="F75" s="3" t="s">
        <v>34</v>
      </c>
      <c r="G75" s="4">
        <v>60.42</v>
      </c>
      <c r="H75" s="4">
        <v>121.66</v>
      </c>
      <c r="I75" s="4">
        <v>128.53</v>
      </c>
      <c r="J75" s="4">
        <v>7.33</v>
      </c>
      <c r="K75" s="4">
        <v>7.2</v>
      </c>
      <c r="L75" s="4">
        <v>7.3</v>
      </c>
      <c r="M75" s="4">
        <v>16.8</v>
      </c>
      <c r="N75" s="4">
        <v>120.72</v>
      </c>
      <c r="O75" s="4">
        <v>2017.8</v>
      </c>
      <c r="P75" s="5">
        <v>5.3400000000000003E-2</v>
      </c>
      <c r="Q75" s="5">
        <v>0.9466</v>
      </c>
      <c r="R75" s="5">
        <v>2.46E-2</v>
      </c>
      <c r="S75" s="5">
        <v>6.6E-3</v>
      </c>
      <c r="T75" s="5">
        <v>0.81279999999999997</v>
      </c>
      <c r="U75" s="5">
        <v>0.8337</v>
      </c>
      <c r="V75" s="5">
        <v>2.0137</v>
      </c>
      <c r="W75" s="4">
        <v>1.0078</v>
      </c>
      <c r="X75" s="6">
        <v>93112.3</v>
      </c>
      <c r="Y75" s="6">
        <v>22940.71</v>
      </c>
      <c r="Z75" s="6">
        <v>4298.37</v>
      </c>
      <c r="AA75" s="6">
        <v>123578.08</v>
      </c>
      <c r="AB75" s="6">
        <v>1015.76</v>
      </c>
      <c r="AC75" s="3" t="s">
        <v>126</v>
      </c>
      <c r="AD75" s="3" t="s">
        <v>56</v>
      </c>
    </row>
    <row r="76" spans="1:30">
      <c r="A76" s="2">
        <v>45996</v>
      </c>
      <c r="B76" s="3" t="s">
        <v>30</v>
      </c>
      <c r="C76" s="3" t="s">
        <v>42</v>
      </c>
      <c r="D76" s="3" t="s">
        <v>32</v>
      </c>
      <c r="E76" s="3" t="s">
        <v>46</v>
      </c>
      <c r="F76" s="3" t="s">
        <v>47</v>
      </c>
      <c r="G76" s="4">
        <v>87.12</v>
      </c>
      <c r="H76" s="4">
        <v>111.77</v>
      </c>
      <c r="I76" s="4">
        <v>115.21</v>
      </c>
      <c r="J76" s="4">
        <v>7.81</v>
      </c>
      <c r="K76" s="4">
        <v>7.72</v>
      </c>
      <c r="L76" s="4">
        <v>5.3</v>
      </c>
      <c r="M76" s="4">
        <v>18.3</v>
      </c>
      <c r="N76" s="4">
        <v>141.49</v>
      </c>
      <c r="O76" s="4">
        <v>1893.6</v>
      </c>
      <c r="P76" s="5">
        <v>2.9899999999999999E-2</v>
      </c>
      <c r="Q76" s="5">
        <v>0.97009999999999996</v>
      </c>
      <c r="R76" s="5">
        <v>5.5899999999999998E-2</v>
      </c>
      <c r="S76" s="5">
        <v>1.37E-2</v>
      </c>
      <c r="T76" s="5">
        <v>0.78190000000000004</v>
      </c>
      <c r="U76" s="5">
        <v>0.80049999999999999</v>
      </c>
      <c r="V76" s="5">
        <v>1.2828999999999999</v>
      </c>
      <c r="W76" s="4">
        <v>0.78990000000000005</v>
      </c>
      <c r="X76" s="6">
        <v>90359.63</v>
      </c>
      <c r="Y76" s="6">
        <v>25663.85</v>
      </c>
      <c r="Z76" s="6">
        <v>3888.84</v>
      </c>
      <c r="AA76" s="6">
        <v>125611.37</v>
      </c>
      <c r="AB76" s="6">
        <v>1123.8800000000001</v>
      </c>
      <c r="AC76" s="3" t="s">
        <v>127</v>
      </c>
      <c r="AD76" s="3" t="s">
        <v>56</v>
      </c>
    </row>
    <row r="77" spans="1:30">
      <c r="A77" s="2">
        <v>45997</v>
      </c>
      <c r="B77" s="3" t="s">
        <v>30</v>
      </c>
      <c r="C77" s="3" t="s">
        <v>42</v>
      </c>
      <c r="D77" s="3" t="s">
        <v>38</v>
      </c>
      <c r="E77" s="3" t="s">
        <v>39</v>
      </c>
      <c r="F77" s="3" t="s">
        <v>40</v>
      </c>
      <c r="G77" s="4">
        <v>106.27</v>
      </c>
      <c r="H77" s="4">
        <v>102.4</v>
      </c>
      <c r="I77" s="4">
        <v>107.31</v>
      </c>
      <c r="J77" s="4">
        <v>7.98</v>
      </c>
      <c r="K77" s="4">
        <v>7.84</v>
      </c>
      <c r="L77" s="4">
        <v>8.6999999999999993</v>
      </c>
      <c r="M77" s="4">
        <v>15.6</v>
      </c>
      <c r="N77" s="4">
        <v>122.54</v>
      </c>
      <c r="O77" s="4">
        <v>1995.6</v>
      </c>
      <c r="P77" s="5">
        <v>4.58E-2</v>
      </c>
      <c r="Q77" s="5">
        <v>0.95420000000000005</v>
      </c>
      <c r="R77" s="5">
        <v>2.9100000000000001E-2</v>
      </c>
      <c r="S77" s="5">
        <v>5.8999999999999999E-3</v>
      </c>
      <c r="T77" s="5">
        <v>0.78879999999999995</v>
      </c>
      <c r="U77" s="5">
        <v>0.74180000000000001</v>
      </c>
      <c r="V77" s="5">
        <v>0.96350000000000002</v>
      </c>
      <c r="W77" s="4">
        <v>0.83560000000000001</v>
      </c>
      <c r="X77" s="6">
        <v>68660.55</v>
      </c>
      <c r="Y77" s="6">
        <v>18869.89</v>
      </c>
      <c r="Z77" s="6">
        <v>4364.1000000000004</v>
      </c>
      <c r="AA77" s="6">
        <v>97509.37</v>
      </c>
      <c r="AB77" s="6">
        <v>952.26</v>
      </c>
      <c r="AC77" s="3" t="s">
        <v>128</v>
      </c>
      <c r="AD77" s="3" t="s">
        <v>49</v>
      </c>
    </row>
    <row r="78" spans="1:30">
      <c r="A78" s="2">
        <v>45998</v>
      </c>
      <c r="B78" s="3" t="s">
        <v>30</v>
      </c>
      <c r="C78" s="3" t="s">
        <v>51</v>
      </c>
      <c r="D78" s="3" t="s">
        <v>45</v>
      </c>
      <c r="E78" s="3" t="s">
        <v>52</v>
      </c>
      <c r="F78" s="3" t="s">
        <v>47</v>
      </c>
      <c r="G78" s="4">
        <v>87.47</v>
      </c>
      <c r="H78" s="4">
        <v>127.95</v>
      </c>
      <c r="I78" s="4">
        <v>129.51</v>
      </c>
      <c r="J78" s="4">
        <v>8.3800000000000008</v>
      </c>
      <c r="K78" s="4">
        <v>8.23</v>
      </c>
      <c r="L78" s="4">
        <v>8.8000000000000007</v>
      </c>
      <c r="M78" s="4">
        <v>14.8</v>
      </c>
      <c r="N78" s="4">
        <v>122.23</v>
      </c>
      <c r="O78" s="4">
        <v>2217.9</v>
      </c>
      <c r="P78" s="5">
        <v>1.2E-2</v>
      </c>
      <c r="Q78" s="5">
        <v>0.98799999999999999</v>
      </c>
      <c r="R78" s="5">
        <v>3.2500000000000001E-2</v>
      </c>
      <c r="S78" s="5">
        <v>1.52E-2</v>
      </c>
      <c r="T78" s="5">
        <v>0.83289999999999997</v>
      </c>
      <c r="U78" s="5">
        <v>0.84619999999999995</v>
      </c>
      <c r="V78" s="5">
        <v>1.4628000000000001</v>
      </c>
      <c r="W78" s="4">
        <v>1.0468</v>
      </c>
      <c r="X78" s="6">
        <v>103539.84</v>
      </c>
      <c r="Y78" s="6">
        <v>20094.669999999998</v>
      </c>
      <c r="Z78" s="6">
        <v>5169.93</v>
      </c>
      <c r="AA78" s="6">
        <v>132473.87</v>
      </c>
      <c r="AB78" s="6">
        <v>1035.3499999999999</v>
      </c>
      <c r="AC78" s="3" t="s">
        <v>129</v>
      </c>
      <c r="AD78" s="3" t="s">
        <v>36</v>
      </c>
    </row>
    <row r="79" spans="1:30">
      <c r="A79" s="2">
        <v>45999</v>
      </c>
      <c r="B79" s="3" t="s">
        <v>30</v>
      </c>
      <c r="C79" s="3" t="s">
        <v>31</v>
      </c>
      <c r="D79" s="3" t="s">
        <v>45</v>
      </c>
      <c r="E79" s="3" t="s">
        <v>52</v>
      </c>
      <c r="F79" s="3" t="s">
        <v>47</v>
      </c>
      <c r="G79" s="4">
        <v>76.53</v>
      </c>
      <c r="H79" s="4">
        <v>104.17</v>
      </c>
      <c r="I79" s="4">
        <v>107.17</v>
      </c>
      <c r="J79" s="4">
        <v>7.66</v>
      </c>
      <c r="K79" s="4">
        <v>7.21</v>
      </c>
      <c r="L79" s="4">
        <v>27.2</v>
      </c>
      <c r="M79" s="4">
        <v>17</v>
      </c>
      <c r="N79" s="4">
        <v>122.87</v>
      </c>
      <c r="O79" s="4">
        <v>1902.9</v>
      </c>
      <c r="P79" s="5">
        <v>2.81E-2</v>
      </c>
      <c r="Q79" s="5">
        <v>0.97189999999999999</v>
      </c>
      <c r="R79" s="5">
        <v>5.7999999999999996E-3</v>
      </c>
      <c r="S79" s="5">
        <v>1.4800000000000001E-2</v>
      </c>
      <c r="T79" s="5">
        <v>0.81040000000000001</v>
      </c>
      <c r="U79" s="5">
        <v>0.78869999999999996</v>
      </c>
      <c r="V79" s="5">
        <v>1.3611</v>
      </c>
      <c r="W79" s="4">
        <v>0.84770000000000001</v>
      </c>
      <c r="X79" s="6">
        <v>90428.72</v>
      </c>
      <c r="Y79" s="6">
        <v>18979.150000000001</v>
      </c>
      <c r="Z79" s="6">
        <v>5224.57</v>
      </c>
      <c r="AA79" s="6">
        <v>120238.28</v>
      </c>
      <c r="AB79" s="6">
        <v>1154.31</v>
      </c>
      <c r="AC79" s="3" t="s">
        <v>130</v>
      </c>
      <c r="AD79" s="3" t="s">
        <v>49</v>
      </c>
    </row>
    <row r="80" spans="1:30">
      <c r="A80" s="2">
        <v>46000</v>
      </c>
      <c r="B80" s="3" t="s">
        <v>30</v>
      </c>
      <c r="C80" s="3" t="s">
        <v>37</v>
      </c>
      <c r="D80" s="3" t="s">
        <v>32</v>
      </c>
      <c r="E80" s="3" t="s">
        <v>52</v>
      </c>
      <c r="F80" s="3" t="s">
        <v>47</v>
      </c>
      <c r="G80" s="4">
        <v>100.84</v>
      </c>
      <c r="H80" s="4">
        <v>101.25</v>
      </c>
      <c r="I80" s="4">
        <v>105.03</v>
      </c>
      <c r="J80" s="4">
        <v>8.0299999999999994</v>
      </c>
      <c r="K80" s="4">
        <v>7.82</v>
      </c>
      <c r="L80" s="4">
        <v>12.6</v>
      </c>
      <c r="M80" s="4">
        <v>20.100000000000001</v>
      </c>
      <c r="N80" s="4">
        <v>157.12</v>
      </c>
      <c r="O80" s="4">
        <v>1903.4</v>
      </c>
      <c r="P80" s="5">
        <v>3.5999999999999997E-2</v>
      </c>
      <c r="Q80" s="5">
        <v>0.96399999999999997</v>
      </c>
      <c r="R80" s="5">
        <v>2.3699999999999999E-2</v>
      </c>
      <c r="S80" s="5">
        <v>7.4999999999999997E-3</v>
      </c>
      <c r="T80" s="5">
        <v>0.74950000000000006</v>
      </c>
      <c r="U80" s="5">
        <v>0.72719999999999996</v>
      </c>
      <c r="V80" s="5">
        <v>1.004</v>
      </c>
      <c r="W80" s="4">
        <v>0.64439999999999997</v>
      </c>
      <c r="X80" s="6">
        <v>81739.05</v>
      </c>
      <c r="Y80" s="6">
        <v>23525.95</v>
      </c>
      <c r="Z80" s="6">
        <v>4003.21</v>
      </c>
      <c r="AA80" s="6">
        <v>113167.31</v>
      </c>
      <c r="AB80" s="6">
        <v>1117.7</v>
      </c>
      <c r="AC80" s="3" t="s">
        <v>131</v>
      </c>
      <c r="AD80" s="3" t="s">
        <v>36</v>
      </c>
    </row>
    <row r="81" spans="1:30">
      <c r="A81" s="2">
        <v>46001</v>
      </c>
      <c r="B81" s="3" t="s">
        <v>30</v>
      </c>
      <c r="C81" s="3" t="s">
        <v>31</v>
      </c>
      <c r="D81" s="3" t="s">
        <v>38</v>
      </c>
      <c r="E81" s="3" t="s">
        <v>46</v>
      </c>
      <c r="F81" s="3" t="s">
        <v>47</v>
      </c>
      <c r="G81" s="4">
        <v>66.69</v>
      </c>
      <c r="H81" s="4">
        <v>86.14</v>
      </c>
      <c r="I81" s="4">
        <v>93.9</v>
      </c>
      <c r="J81" s="4">
        <v>8.3699999999999992</v>
      </c>
      <c r="K81" s="4">
        <v>7.57</v>
      </c>
      <c r="L81" s="4">
        <v>48</v>
      </c>
      <c r="M81" s="4">
        <v>19.600000000000001</v>
      </c>
      <c r="N81" s="4">
        <v>148.16999999999999</v>
      </c>
      <c r="O81" s="4">
        <v>2011.4</v>
      </c>
      <c r="P81" s="5">
        <v>8.2699999999999996E-2</v>
      </c>
      <c r="Q81" s="5">
        <v>0.9173</v>
      </c>
      <c r="R81" s="5">
        <v>3.5900000000000001E-2</v>
      </c>
      <c r="S81" s="5">
        <v>1.9300000000000001E-2</v>
      </c>
      <c r="T81" s="5">
        <v>0.73429999999999995</v>
      </c>
      <c r="U81" s="5">
        <v>0.68379999999999996</v>
      </c>
      <c r="V81" s="5">
        <v>1.2916000000000001</v>
      </c>
      <c r="W81" s="4">
        <v>0.58130000000000004</v>
      </c>
      <c r="X81" s="6">
        <v>70351.399999999994</v>
      </c>
      <c r="Y81" s="6">
        <v>25090.28</v>
      </c>
      <c r="Z81" s="6">
        <v>5034.49</v>
      </c>
      <c r="AA81" s="6">
        <v>104752.54</v>
      </c>
      <c r="AB81" s="6">
        <v>1216.1199999999999</v>
      </c>
      <c r="AC81" s="3" t="s">
        <v>132</v>
      </c>
      <c r="AD81" s="3" t="s">
        <v>36</v>
      </c>
    </row>
    <row r="82" spans="1:30">
      <c r="A82" s="2">
        <v>46002</v>
      </c>
      <c r="B82" s="3" t="s">
        <v>30</v>
      </c>
      <c r="C82" s="3" t="s">
        <v>51</v>
      </c>
      <c r="D82" s="3" t="s">
        <v>32</v>
      </c>
      <c r="E82" s="3" t="s">
        <v>46</v>
      </c>
      <c r="F82" s="3" t="s">
        <v>47</v>
      </c>
      <c r="G82" s="4">
        <v>115.2</v>
      </c>
      <c r="H82" s="4">
        <v>157.35</v>
      </c>
      <c r="I82" s="4">
        <v>162.58000000000001</v>
      </c>
      <c r="J82" s="4">
        <v>8.27</v>
      </c>
      <c r="K82" s="4">
        <v>8.0299999999999994</v>
      </c>
      <c r="L82" s="4">
        <v>14.4</v>
      </c>
      <c r="M82" s="4">
        <v>18.7</v>
      </c>
      <c r="N82" s="4">
        <v>150.5</v>
      </c>
      <c r="O82" s="4">
        <v>2526.3000000000002</v>
      </c>
      <c r="P82" s="5">
        <v>3.2099999999999997E-2</v>
      </c>
      <c r="Q82" s="5">
        <v>0.96789999999999998</v>
      </c>
      <c r="R82" s="5">
        <v>1.24E-2</v>
      </c>
      <c r="S82" s="5">
        <v>1.4200000000000001E-2</v>
      </c>
      <c r="T82" s="5">
        <v>0.87590000000000001</v>
      </c>
      <c r="U82" s="5">
        <v>0.88029999999999997</v>
      </c>
      <c r="V82" s="5">
        <v>1.3657999999999999</v>
      </c>
      <c r="W82" s="4">
        <v>1.0455000000000001</v>
      </c>
      <c r="X82" s="6">
        <v>128653.77</v>
      </c>
      <c r="Y82" s="6">
        <v>27677.95</v>
      </c>
      <c r="Z82" s="6">
        <v>5530.72</v>
      </c>
      <c r="AA82" s="6">
        <v>168816.34</v>
      </c>
      <c r="AB82" s="6">
        <v>1072.8499999999999</v>
      </c>
      <c r="AC82" s="3" t="s">
        <v>133</v>
      </c>
      <c r="AD82" s="3" t="s">
        <v>36</v>
      </c>
    </row>
    <row r="83" spans="1:30">
      <c r="A83" s="2">
        <v>46003</v>
      </c>
      <c r="B83" s="3" t="s">
        <v>30</v>
      </c>
      <c r="C83" s="3" t="s">
        <v>42</v>
      </c>
      <c r="D83" s="3" t="s">
        <v>32</v>
      </c>
      <c r="E83" s="3" t="s">
        <v>39</v>
      </c>
      <c r="F83" s="3" t="s">
        <v>40</v>
      </c>
      <c r="G83" s="4">
        <v>105.28</v>
      </c>
      <c r="H83" s="4">
        <v>114.63</v>
      </c>
      <c r="I83" s="4">
        <v>120.65</v>
      </c>
      <c r="J83" s="4">
        <v>8.2100000000000009</v>
      </c>
      <c r="K83" s="4">
        <v>8.0500000000000007</v>
      </c>
      <c r="L83" s="4">
        <v>9.4</v>
      </c>
      <c r="M83" s="4">
        <v>16.2</v>
      </c>
      <c r="N83" s="4">
        <v>130.28</v>
      </c>
      <c r="O83" s="4">
        <v>2159.3000000000002</v>
      </c>
      <c r="P83" s="5">
        <v>4.99E-2</v>
      </c>
      <c r="Q83" s="5">
        <v>0.95009999999999994</v>
      </c>
      <c r="R83" s="5">
        <v>3.2300000000000002E-2</v>
      </c>
      <c r="S83" s="5">
        <v>1.9900000000000001E-2</v>
      </c>
      <c r="T83" s="5">
        <v>0.69220000000000004</v>
      </c>
      <c r="U83" s="5">
        <v>0.69879999999999998</v>
      </c>
      <c r="V83" s="5">
        <v>1.0888</v>
      </c>
      <c r="W83" s="4">
        <v>0.87990000000000002</v>
      </c>
      <c r="X83" s="6">
        <v>97112.91</v>
      </c>
      <c r="Y83" s="6">
        <v>23141.279999999999</v>
      </c>
      <c r="Z83" s="6">
        <v>4841.55</v>
      </c>
      <c r="AA83" s="6">
        <v>131394.07</v>
      </c>
      <c r="AB83" s="6">
        <v>1146.24</v>
      </c>
      <c r="AC83" s="3" t="s">
        <v>134</v>
      </c>
      <c r="AD83" s="3" t="s">
        <v>36</v>
      </c>
    </row>
    <row r="84" spans="1:30">
      <c r="A84" s="2">
        <v>46004</v>
      </c>
      <c r="B84" s="3" t="s">
        <v>30</v>
      </c>
      <c r="C84" s="3" t="s">
        <v>37</v>
      </c>
      <c r="D84" s="3" t="s">
        <v>32</v>
      </c>
      <c r="E84" s="3" t="s">
        <v>46</v>
      </c>
      <c r="F84" s="3" t="s">
        <v>47</v>
      </c>
      <c r="G84" s="4">
        <v>135.5</v>
      </c>
      <c r="H84" s="4">
        <v>134.59</v>
      </c>
      <c r="I84" s="4">
        <v>139.99</v>
      </c>
      <c r="J84" s="4">
        <v>7.46</v>
      </c>
      <c r="K84" s="4">
        <v>7.17</v>
      </c>
      <c r="L84" s="4">
        <v>17.399999999999999</v>
      </c>
      <c r="M84" s="4">
        <v>20.9</v>
      </c>
      <c r="N84" s="4">
        <v>149.79</v>
      </c>
      <c r="O84" s="4">
        <v>2262.4</v>
      </c>
      <c r="P84" s="5">
        <v>3.8600000000000002E-2</v>
      </c>
      <c r="Q84" s="5">
        <v>0.96140000000000003</v>
      </c>
      <c r="R84" s="5">
        <v>1.7899999999999999E-2</v>
      </c>
      <c r="S84" s="5">
        <v>2.1399999999999999E-2</v>
      </c>
      <c r="T84" s="5">
        <v>0.85560000000000003</v>
      </c>
      <c r="U84" s="5">
        <v>0.79949999999999999</v>
      </c>
      <c r="V84" s="5">
        <v>0.99329999999999996</v>
      </c>
      <c r="W84" s="4">
        <v>0.89849999999999997</v>
      </c>
      <c r="X84" s="6">
        <v>110140.55</v>
      </c>
      <c r="Y84" s="6">
        <v>27340.02</v>
      </c>
      <c r="Z84" s="6">
        <v>5565.83</v>
      </c>
      <c r="AA84" s="6">
        <v>147876.54999999999</v>
      </c>
      <c r="AB84" s="6">
        <v>1098.7</v>
      </c>
      <c r="AC84" s="3" t="s">
        <v>135</v>
      </c>
      <c r="AD84" s="3" t="s">
        <v>36</v>
      </c>
    </row>
    <row r="85" spans="1:30">
      <c r="A85" s="2">
        <v>46005</v>
      </c>
      <c r="B85" s="3" t="s">
        <v>30</v>
      </c>
      <c r="C85" s="3" t="s">
        <v>37</v>
      </c>
      <c r="D85" s="3" t="s">
        <v>38</v>
      </c>
      <c r="E85" s="3" t="s">
        <v>33</v>
      </c>
      <c r="F85" s="3" t="s">
        <v>34</v>
      </c>
      <c r="G85" s="4">
        <v>82.32</v>
      </c>
      <c r="H85" s="4">
        <v>112.5</v>
      </c>
      <c r="I85" s="4">
        <v>117.74</v>
      </c>
      <c r="J85" s="4">
        <v>7.38</v>
      </c>
      <c r="K85" s="4">
        <v>7.15</v>
      </c>
      <c r="L85" s="4">
        <v>13.6</v>
      </c>
      <c r="M85" s="4">
        <v>13.8</v>
      </c>
      <c r="N85" s="4">
        <v>98.83</v>
      </c>
      <c r="O85" s="4">
        <v>1909.2</v>
      </c>
      <c r="P85" s="5">
        <v>4.4499999999999998E-2</v>
      </c>
      <c r="Q85" s="5">
        <v>0.95550000000000002</v>
      </c>
      <c r="R85" s="5">
        <v>5.3499999999999999E-2</v>
      </c>
      <c r="S85" s="5">
        <v>4.0000000000000001E-3</v>
      </c>
      <c r="T85" s="5">
        <v>0.82840000000000003</v>
      </c>
      <c r="U85" s="5">
        <v>0.83979999999999999</v>
      </c>
      <c r="V85" s="5">
        <v>1.3665</v>
      </c>
      <c r="W85" s="4">
        <v>1.1383000000000001</v>
      </c>
      <c r="X85" s="6">
        <v>85431.43</v>
      </c>
      <c r="Y85" s="6">
        <v>14822.1</v>
      </c>
      <c r="Z85" s="6">
        <v>3989.79</v>
      </c>
      <c r="AA85" s="6">
        <v>111143.55</v>
      </c>
      <c r="AB85" s="6">
        <v>987.96</v>
      </c>
      <c r="AC85" s="3" t="s">
        <v>136</v>
      </c>
      <c r="AD85" s="3" t="s">
        <v>36</v>
      </c>
    </row>
    <row r="86" spans="1:30">
      <c r="A86" s="2">
        <v>46006</v>
      </c>
      <c r="B86" s="3" t="s">
        <v>30</v>
      </c>
      <c r="C86" s="3" t="s">
        <v>42</v>
      </c>
      <c r="D86" s="3" t="s">
        <v>32</v>
      </c>
      <c r="E86" s="3" t="s">
        <v>33</v>
      </c>
      <c r="F86" s="3" t="s">
        <v>34</v>
      </c>
      <c r="G86" s="4">
        <v>125.84</v>
      </c>
      <c r="H86" s="4">
        <v>129.97</v>
      </c>
      <c r="I86" s="4">
        <v>137.74</v>
      </c>
      <c r="J86" s="4">
        <v>8.16</v>
      </c>
      <c r="K86" s="4">
        <v>7.88</v>
      </c>
      <c r="L86" s="4">
        <v>16.899999999999999</v>
      </c>
      <c r="M86" s="4">
        <v>16.5</v>
      </c>
      <c r="N86" s="4">
        <v>129.80000000000001</v>
      </c>
      <c r="O86" s="4">
        <v>2338.6999999999998</v>
      </c>
      <c r="P86" s="5">
        <v>5.6399999999999999E-2</v>
      </c>
      <c r="Q86" s="5">
        <v>0.94359999999999999</v>
      </c>
      <c r="R86" s="5">
        <v>2.3599999999999999E-2</v>
      </c>
      <c r="S86" s="5">
        <v>1.15E-2</v>
      </c>
      <c r="T86" s="5">
        <v>0.93159999999999998</v>
      </c>
      <c r="U86" s="5">
        <v>0.91810000000000003</v>
      </c>
      <c r="V86" s="5">
        <v>1.0327999999999999</v>
      </c>
      <c r="W86" s="4">
        <v>1.0013000000000001</v>
      </c>
      <c r="X86" s="6">
        <v>102251.72</v>
      </c>
      <c r="Y86" s="6">
        <v>25223.11</v>
      </c>
      <c r="Z86" s="6">
        <v>5723.04</v>
      </c>
      <c r="AA86" s="6">
        <v>136989.45000000001</v>
      </c>
      <c r="AB86" s="6">
        <v>1054.03</v>
      </c>
      <c r="AC86" s="3" t="s">
        <v>137</v>
      </c>
      <c r="AD86" s="3" t="s">
        <v>36</v>
      </c>
    </row>
    <row r="87" spans="1:30">
      <c r="A87" s="2">
        <v>46007</v>
      </c>
      <c r="B87" s="3" t="s">
        <v>30</v>
      </c>
      <c r="C87" s="3" t="s">
        <v>37</v>
      </c>
      <c r="D87" s="3" t="s">
        <v>32</v>
      </c>
      <c r="E87" s="3" t="s">
        <v>46</v>
      </c>
      <c r="F87" s="3" t="s">
        <v>47</v>
      </c>
      <c r="G87" s="4">
        <v>147.79</v>
      </c>
      <c r="H87" s="4">
        <v>134.13</v>
      </c>
      <c r="I87" s="4">
        <v>139.61000000000001</v>
      </c>
      <c r="J87" s="4">
        <v>7.95</v>
      </c>
      <c r="K87" s="4">
        <v>7.83</v>
      </c>
      <c r="L87" s="4">
        <v>7.7</v>
      </c>
      <c r="M87" s="4">
        <v>16.2</v>
      </c>
      <c r="N87" s="4">
        <v>126.4</v>
      </c>
      <c r="O87" s="4">
        <v>2178.5</v>
      </c>
      <c r="P87" s="5">
        <v>3.9300000000000002E-2</v>
      </c>
      <c r="Q87" s="5">
        <v>0.9607</v>
      </c>
      <c r="R87" s="5">
        <v>2.92E-2</v>
      </c>
      <c r="S87" s="5">
        <v>1.84E-2</v>
      </c>
      <c r="T87" s="5">
        <v>0.73399999999999999</v>
      </c>
      <c r="U87" s="5">
        <v>0.64329999999999998</v>
      </c>
      <c r="V87" s="5">
        <v>0.90749999999999997</v>
      </c>
      <c r="W87" s="4">
        <v>1.0611999999999999</v>
      </c>
      <c r="X87" s="6">
        <v>122261.52</v>
      </c>
      <c r="Y87" s="6">
        <v>22230.21</v>
      </c>
      <c r="Z87" s="6">
        <v>4567.63</v>
      </c>
      <c r="AA87" s="6">
        <v>155226.75</v>
      </c>
      <c r="AB87" s="6">
        <v>1157.32</v>
      </c>
      <c r="AC87" s="3" t="s">
        <v>138</v>
      </c>
      <c r="AD87" s="3" t="s">
        <v>36</v>
      </c>
    </row>
    <row r="88" spans="1:30">
      <c r="A88" s="2">
        <v>46008</v>
      </c>
      <c r="B88" s="3" t="s">
        <v>30</v>
      </c>
      <c r="C88" s="3" t="s">
        <v>42</v>
      </c>
      <c r="D88" s="3" t="s">
        <v>45</v>
      </c>
      <c r="E88" s="3" t="s">
        <v>46</v>
      </c>
      <c r="F88" s="3" t="s">
        <v>47</v>
      </c>
      <c r="G88" s="4">
        <v>142.16999999999999</v>
      </c>
      <c r="H88" s="4">
        <v>98.58</v>
      </c>
      <c r="I88" s="4">
        <v>102.92</v>
      </c>
      <c r="J88" s="4">
        <v>8.48</v>
      </c>
      <c r="K88" s="4">
        <v>8.33</v>
      </c>
      <c r="L88" s="4">
        <v>9.1999999999999993</v>
      </c>
      <c r="M88" s="4">
        <v>18.100000000000001</v>
      </c>
      <c r="N88" s="4">
        <v>151.04</v>
      </c>
      <c r="O88" s="4">
        <v>1783.9</v>
      </c>
      <c r="P88" s="5">
        <v>4.2099999999999999E-2</v>
      </c>
      <c r="Q88" s="5">
        <v>0.95789999999999997</v>
      </c>
      <c r="R88" s="5">
        <v>2.24E-2</v>
      </c>
      <c r="S88" s="5">
        <v>9.7999999999999997E-3</v>
      </c>
      <c r="T88" s="5">
        <v>0.7913</v>
      </c>
      <c r="U88" s="5">
        <v>0.53349999999999997</v>
      </c>
      <c r="V88" s="5">
        <v>0.69340000000000002</v>
      </c>
      <c r="W88" s="4">
        <v>0.65259999999999996</v>
      </c>
      <c r="X88" s="6">
        <v>76692.98</v>
      </c>
      <c r="Y88" s="6">
        <v>28965.919999999998</v>
      </c>
      <c r="Z88" s="6">
        <v>4851.7700000000004</v>
      </c>
      <c r="AA88" s="6">
        <v>116041.43</v>
      </c>
      <c r="AB88" s="6">
        <v>1177.1500000000001</v>
      </c>
      <c r="AC88" s="3" t="s">
        <v>139</v>
      </c>
      <c r="AD88" s="3" t="s">
        <v>36</v>
      </c>
    </row>
    <row r="89" spans="1:30">
      <c r="A89" s="2">
        <v>46009</v>
      </c>
      <c r="B89" s="3" t="s">
        <v>30</v>
      </c>
      <c r="C89" s="3" t="s">
        <v>42</v>
      </c>
      <c r="D89" s="3" t="s">
        <v>32</v>
      </c>
      <c r="E89" s="3" t="s">
        <v>33</v>
      </c>
      <c r="F89" s="3" t="s">
        <v>34</v>
      </c>
      <c r="G89" s="4">
        <v>117.74</v>
      </c>
      <c r="H89" s="4">
        <v>136.35</v>
      </c>
      <c r="I89" s="4">
        <v>142.15</v>
      </c>
      <c r="J89" s="4">
        <v>7.77</v>
      </c>
      <c r="K89" s="4">
        <v>7.41</v>
      </c>
      <c r="L89" s="4">
        <v>22</v>
      </c>
      <c r="M89" s="4">
        <v>18.399999999999999</v>
      </c>
      <c r="N89" s="4">
        <v>136.44999999999999</v>
      </c>
      <c r="O89" s="4">
        <v>2500.1</v>
      </c>
      <c r="P89" s="5">
        <v>4.0800000000000003E-2</v>
      </c>
      <c r="Q89" s="5">
        <v>0.95920000000000005</v>
      </c>
      <c r="R89" s="5">
        <v>3.2000000000000002E-3</v>
      </c>
      <c r="S89" s="5">
        <v>1.5900000000000001E-2</v>
      </c>
      <c r="T89" s="5">
        <v>0.97799999999999998</v>
      </c>
      <c r="U89" s="5">
        <v>0.96279999999999999</v>
      </c>
      <c r="V89" s="5">
        <v>1.1579999999999999</v>
      </c>
      <c r="W89" s="4">
        <v>0.99919999999999998</v>
      </c>
      <c r="X89" s="6">
        <v>90208.03</v>
      </c>
      <c r="Y89" s="6">
        <v>23077.25</v>
      </c>
      <c r="Z89" s="6">
        <v>6586.61</v>
      </c>
      <c r="AA89" s="6">
        <v>126129.98</v>
      </c>
      <c r="AB89" s="6">
        <v>925.08</v>
      </c>
      <c r="AC89" s="3" t="s">
        <v>140</v>
      </c>
      <c r="AD89" s="3" t="s">
        <v>59</v>
      </c>
    </row>
    <row r="90" spans="1:30">
      <c r="A90" s="2">
        <v>46010</v>
      </c>
      <c r="B90" s="3" t="s">
        <v>30</v>
      </c>
      <c r="C90" s="3" t="s">
        <v>42</v>
      </c>
      <c r="D90" s="3" t="s">
        <v>32</v>
      </c>
      <c r="E90" s="3" t="s">
        <v>46</v>
      </c>
      <c r="F90" s="3" t="s">
        <v>47</v>
      </c>
      <c r="G90" s="4">
        <v>85.02</v>
      </c>
      <c r="H90" s="4">
        <v>77.040000000000006</v>
      </c>
      <c r="I90" s="4">
        <v>83.38</v>
      </c>
      <c r="J90" s="4">
        <v>7.24</v>
      </c>
      <c r="K90" s="4">
        <v>6.77</v>
      </c>
      <c r="L90" s="4">
        <v>28.2</v>
      </c>
      <c r="M90" s="4">
        <v>14</v>
      </c>
      <c r="N90" s="4">
        <v>94.53</v>
      </c>
      <c r="O90" s="4">
        <v>1780.4</v>
      </c>
      <c r="P90" s="5">
        <v>7.5999999999999998E-2</v>
      </c>
      <c r="Q90" s="5">
        <v>0.92400000000000004</v>
      </c>
      <c r="R90" s="5">
        <v>3.4299999999999997E-2</v>
      </c>
      <c r="S90" s="5">
        <v>1.0800000000000001E-2</v>
      </c>
      <c r="T90" s="5">
        <v>0.70830000000000004</v>
      </c>
      <c r="U90" s="5">
        <v>0.59370000000000001</v>
      </c>
      <c r="V90" s="5">
        <v>0.90620000000000001</v>
      </c>
      <c r="W90" s="4">
        <v>0.81499999999999995</v>
      </c>
      <c r="X90" s="6">
        <v>58116.44</v>
      </c>
      <c r="Y90" s="6">
        <v>13735.41</v>
      </c>
      <c r="Z90" s="6">
        <v>3814.84</v>
      </c>
      <c r="AA90" s="6">
        <v>81632.72</v>
      </c>
      <c r="AB90" s="6">
        <v>1059.58</v>
      </c>
      <c r="AC90" s="3" t="s">
        <v>141</v>
      </c>
      <c r="AD90" s="3" t="s">
        <v>36</v>
      </c>
    </row>
    <row r="91" spans="1:30">
      <c r="A91" s="2">
        <v>46011</v>
      </c>
      <c r="B91" s="3" t="s">
        <v>30</v>
      </c>
      <c r="C91" s="3" t="s">
        <v>51</v>
      </c>
      <c r="D91" s="3" t="s">
        <v>38</v>
      </c>
      <c r="E91" s="3" t="s">
        <v>62</v>
      </c>
      <c r="F91" s="3" t="s">
        <v>63</v>
      </c>
      <c r="G91" s="4">
        <v>60.74</v>
      </c>
      <c r="H91" s="4">
        <v>162.47</v>
      </c>
      <c r="I91" s="4">
        <v>166.11</v>
      </c>
      <c r="J91" s="4">
        <v>7.56</v>
      </c>
      <c r="K91" s="4">
        <v>7.35</v>
      </c>
      <c r="L91" s="4">
        <v>12.5</v>
      </c>
      <c r="M91" s="4">
        <v>17.8</v>
      </c>
      <c r="N91" s="4">
        <v>130.66</v>
      </c>
      <c r="O91" s="4">
        <v>2524.5</v>
      </c>
      <c r="P91" s="5">
        <v>2.1899999999999999E-2</v>
      </c>
      <c r="Q91" s="5">
        <v>0.97809999999999997</v>
      </c>
      <c r="R91" s="5">
        <v>3.61E-2</v>
      </c>
      <c r="S91" s="5">
        <v>4.1999999999999997E-3</v>
      </c>
      <c r="T91" s="5">
        <v>0.82579999999999998</v>
      </c>
      <c r="U91" s="5">
        <v>0.83950000000000002</v>
      </c>
      <c r="V91" s="5">
        <v>2.6749999999999998</v>
      </c>
      <c r="W91" s="4">
        <v>1.2434000000000001</v>
      </c>
      <c r="X91" s="6">
        <v>107441.67</v>
      </c>
      <c r="Y91" s="6">
        <v>19552.89</v>
      </c>
      <c r="Z91" s="6">
        <v>6632.86</v>
      </c>
      <c r="AA91" s="6">
        <v>136338.64000000001</v>
      </c>
      <c r="AB91" s="6">
        <v>839.15</v>
      </c>
      <c r="AC91" s="3" t="s">
        <v>142</v>
      </c>
      <c r="AD91" s="3" t="s">
        <v>36</v>
      </c>
    </row>
    <row r="92" spans="1:30">
      <c r="A92" s="2">
        <v>46012</v>
      </c>
      <c r="B92" s="3" t="s">
        <v>30</v>
      </c>
      <c r="C92" s="3" t="s">
        <v>51</v>
      </c>
      <c r="D92" s="3" t="s">
        <v>38</v>
      </c>
      <c r="E92" s="3" t="s">
        <v>62</v>
      </c>
      <c r="F92" s="3" t="s">
        <v>63</v>
      </c>
      <c r="G92" s="4">
        <v>95.7</v>
      </c>
      <c r="H92" s="4">
        <v>99.99</v>
      </c>
      <c r="I92" s="4">
        <v>104.7</v>
      </c>
      <c r="J92" s="4">
        <v>8.01</v>
      </c>
      <c r="K92" s="4">
        <v>7.63</v>
      </c>
      <c r="L92" s="4">
        <v>22.8</v>
      </c>
      <c r="M92" s="4">
        <v>20.3</v>
      </c>
      <c r="N92" s="4">
        <v>154.84</v>
      </c>
      <c r="O92" s="4">
        <v>1966.5</v>
      </c>
      <c r="P92" s="5">
        <v>4.4999999999999998E-2</v>
      </c>
      <c r="Q92" s="5">
        <v>0.95499999999999996</v>
      </c>
      <c r="R92" s="5">
        <v>4.0000000000000001E-3</v>
      </c>
      <c r="S92" s="5">
        <v>1.7399999999999999E-2</v>
      </c>
      <c r="T92" s="5">
        <v>0.82340000000000002</v>
      </c>
      <c r="U92" s="5">
        <v>0.80530000000000002</v>
      </c>
      <c r="V92" s="5">
        <v>1.0448999999999999</v>
      </c>
      <c r="W92" s="4">
        <v>0.64580000000000004</v>
      </c>
      <c r="X92" s="6">
        <v>80020.19</v>
      </c>
      <c r="Y92" s="6">
        <v>25512.38</v>
      </c>
      <c r="Z92" s="6">
        <v>4117.96</v>
      </c>
      <c r="AA92" s="6">
        <v>115266.2</v>
      </c>
      <c r="AB92" s="6">
        <v>1152.79</v>
      </c>
      <c r="AC92" s="3" t="s">
        <v>143</v>
      </c>
      <c r="AD92" s="3" t="s">
        <v>36</v>
      </c>
    </row>
    <row r="93" spans="1:30">
      <c r="A93" s="2">
        <v>46013</v>
      </c>
      <c r="B93" s="3" t="s">
        <v>30</v>
      </c>
      <c r="C93" s="3" t="s">
        <v>37</v>
      </c>
      <c r="D93" s="3" t="s">
        <v>45</v>
      </c>
      <c r="E93" s="3" t="s">
        <v>52</v>
      </c>
      <c r="F93" s="3" t="s">
        <v>47</v>
      </c>
      <c r="G93" s="4">
        <v>130.03</v>
      </c>
      <c r="H93" s="4">
        <v>118.06</v>
      </c>
      <c r="I93" s="4">
        <v>122.54</v>
      </c>
      <c r="J93" s="4">
        <v>7.28</v>
      </c>
      <c r="K93" s="4">
        <v>7.12</v>
      </c>
      <c r="L93" s="4">
        <v>10</v>
      </c>
      <c r="M93" s="4">
        <v>13.9</v>
      </c>
      <c r="N93" s="4">
        <v>98.79</v>
      </c>
      <c r="O93" s="4">
        <v>2143.9</v>
      </c>
      <c r="P93" s="5">
        <v>3.6499999999999998E-2</v>
      </c>
      <c r="Q93" s="5">
        <v>0.96350000000000002</v>
      </c>
      <c r="R93" s="5">
        <v>3.0300000000000001E-2</v>
      </c>
      <c r="S93" s="5">
        <v>2.3E-3</v>
      </c>
      <c r="T93" s="5">
        <v>0.90749999999999997</v>
      </c>
      <c r="U93" s="5">
        <v>0.80320000000000003</v>
      </c>
      <c r="V93" s="5">
        <v>0.90800000000000003</v>
      </c>
      <c r="W93" s="4">
        <v>1.1950000000000001</v>
      </c>
      <c r="X93" s="6">
        <v>104908.9</v>
      </c>
      <c r="Y93" s="6">
        <v>16903.419999999998</v>
      </c>
      <c r="Z93" s="6">
        <v>4836.83</v>
      </c>
      <c r="AA93" s="6">
        <v>133536.15</v>
      </c>
      <c r="AB93" s="6">
        <v>1131.06</v>
      </c>
      <c r="AC93" s="3" t="s">
        <v>144</v>
      </c>
      <c r="AD93" s="3" t="s">
        <v>36</v>
      </c>
    </row>
    <row r="94" spans="1:30">
      <c r="A94" s="2">
        <v>46014</v>
      </c>
      <c r="B94" s="3" t="s">
        <v>30</v>
      </c>
      <c r="C94" s="3" t="s">
        <v>31</v>
      </c>
      <c r="D94" s="3" t="s">
        <v>32</v>
      </c>
      <c r="E94" s="3" t="s">
        <v>52</v>
      </c>
      <c r="F94" s="3" t="s">
        <v>47</v>
      </c>
      <c r="G94" s="4">
        <v>114.72</v>
      </c>
      <c r="H94" s="4">
        <v>132.87</v>
      </c>
      <c r="I94" s="4">
        <v>141.21</v>
      </c>
      <c r="J94" s="4">
        <v>7.43</v>
      </c>
      <c r="K94" s="4">
        <v>7.08</v>
      </c>
      <c r="L94" s="4">
        <v>20.6</v>
      </c>
      <c r="M94" s="4">
        <v>13.2</v>
      </c>
      <c r="N94" s="4">
        <v>93.65</v>
      </c>
      <c r="O94" s="4">
        <v>2447.1</v>
      </c>
      <c r="P94" s="5">
        <v>5.8999999999999997E-2</v>
      </c>
      <c r="Q94" s="5">
        <v>0.94099999999999995</v>
      </c>
      <c r="R94" s="5">
        <v>3.0000000000000001E-3</v>
      </c>
      <c r="S94" s="5">
        <v>1.5100000000000001E-2</v>
      </c>
      <c r="T94" s="5">
        <v>0.74809999999999999</v>
      </c>
      <c r="U94" s="5">
        <v>0.7379</v>
      </c>
      <c r="V94" s="5">
        <v>1.1581999999999999</v>
      </c>
      <c r="W94" s="4">
        <v>1.4188000000000001</v>
      </c>
      <c r="X94" s="6">
        <v>91791.24</v>
      </c>
      <c r="Y94" s="6">
        <v>14067.49</v>
      </c>
      <c r="Z94" s="6">
        <v>5065.21</v>
      </c>
      <c r="AA94" s="6">
        <v>115113.03</v>
      </c>
      <c r="AB94" s="6">
        <v>866.33</v>
      </c>
      <c r="AC94" s="3" t="s">
        <v>145</v>
      </c>
      <c r="AD94" s="3" t="s">
        <v>36</v>
      </c>
    </row>
    <row r="95" spans="1:30">
      <c r="A95" s="2">
        <v>46015</v>
      </c>
      <c r="B95" s="3" t="s">
        <v>30</v>
      </c>
      <c r="C95" s="3" t="s">
        <v>31</v>
      </c>
      <c r="D95" s="3" t="s">
        <v>32</v>
      </c>
      <c r="E95" s="3" t="s">
        <v>43</v>
      </c>
      <c r="F95" s="3" t="s">
        <v>40</v>
      </c>
      <c r="G95" s="4">
        <v>133.43</v>
      </c>
      <c r="H95" s="4">
        <v>107.84</v>
      </c>
      <c r="I95" s="4">
        <v>114.71</v>
      </c>
      <c r="J95" s="4">
        <v>7.53</v>
      </c>
      <c r="K95" s="4">
        <v>7.34</v>
      </c>
      <c r="L95" s="4">
        <v>11.6</v>
      </c>
      <c r="M95" s="4">
        <v>13.8</v>
      </c>
      <c r="N95" s="4">
        <v>101.34</v>
      </c>
      <c r="O95" s="4">
        <v>1987</v>
      </c>
      <c r="P95" s="5">
        <v>5.9799999999999999E-2</v>
      </c>
      <c r="Q95" s="5">
        <v>0.94020000000000004</v>
      </c>
      <c r="R95" s="5">
        <v>6.1100000000000002E-2</v>
      </c>
      <c r="S95" s="5">
        <v>8.6999999999999994E-3</v>
      </c>
      <c r="T95" s="5">
        <v>0.81179999999999997</v>
      </c>
      <c r="U95" s="5">
        <v>0.63380000000000003</v>
      </c>
      <c r="V95" s="5">
        <v>0.80820000000000003</v>
      </c>
      <c r="W95" s="4">
        <v>1.0642</v>
      </c>
      <c r="X95" s="6">
        <v>85010.01</v>
      </c>
      <c r="Y95" s="6">
        <v>17474.009999999998</v>
      </c>
      <c r="Z95" s="6">
        <v>5461.26</v>
      </c>
      <c r="AA95" s="6">
        <v>113669.85</v>
      </c>
      <c r="AB95" s="6">
        <v>1054.02</v>
      </c>
      <c r="AC95" s="3" t="s">
        <v>146</v>
      </c>
      <c r="AD95" s="3" t="s">
        <v>36</v>
      </c>
    </row>
    <row r="96" spans="1:30">
      <c r="A96" s="2">
        <v>46016</v>
      </c>
      <c r="B96" s="3" t="s">
        <v>30</v>
      </c>
      <c r="C96" s="3" t="s">
        <v>51</v>
      </c>
      <c r="D96" s="3" t="s">
        <v>38</v>
      </c>
      <c r="E96" s="3" t="s">
        <v>43</v>
      </c>
      <c r="F96" s="3" t="s">
        <v>40</v>
      </c>
      <c r="G96" s="4">
        <v>87.51</v>
      </c>
      <c r="H96" s="4">
        <v>158.05000000000001</v>
      </c>
      <c r="I96" s="4">
        <v>167.72</v>
      </c>
      <c r="J96" s="4">
        <v>8.48</v>
      </c>
      <c r="K96" s="4">
        <v>8.1199999999999992</v>
      </c>
      <c r="L96" s="4">
        <v>21.3</v>
      </c>
      <c r="M96" s="4">
        <v>19.7</v>
      </c>
      <c r="N96" s="4">
        <v>159.80000000000001</v>
      </c>
      <c r="O96" s="4">
        <v>2548.4</v>
      </c>
      <c r="P96" s="5">
        <v>5.7700000000000001E-2</v>
      </c>
      <c r="Q96" s="5">
        <v>0.94230000000000003</v>
      </c>
      <c r="R96" s="5">
        <v>1.2200000000000001E-2</v>
      </c>
      <c r="S96" s="5">
        <v>1.54E-2</v>
      </c>
      <c r="T96" s="5">
        <v>0.89329999999999998</v>
      </c>
      <c r="U96" s="5">
        <v>0.88490000000000002</v>
      </c>
      <c r="V96" s="5">
        <v>1.8061</v>
      </c>
      <c r="W96" s="4">
        <v>0.98899999999999999</v>
      </c>
      <c r="X96" s="6">
        <v>141708.35999999999</v>
      </c>
      <c r="Y96" s="6">
        <v>30002.37</v>
      </c>
      <c r="Z96" s="6">
        <v>5674.61</v>
      </c>
      <c r="AA96" s="6">
        <v>180511.58</v>
      </c>
      <c r="AB96" s="6">
        <v>1142.1400000000001</v>
      </c>
      <c r="AC96" s="3" t="s">
        <v>147</v>
      </c>
      <c r="AD96" s="3" t="s">
        <v>36</v>
      </c>
    </row>
    <row r="97" spans="1:30">
      <c r="A97" s="2">
        <v>46017</v>
      </c>
      <c r="B97" s="3" t="s">
        <v>30</v>
      </c>
      <c r="C97" s="3" t="s">
        <v>42</v>
      </c>
      <c r="D97" s="3" t="s">
        <v>32</v>
      </c>
      <c r="E97" s="3" t="s">
        <v>39</v>
      </c>
      <c r="F97" s="3" t="s">
        <v>40</v>
      </c>
      <c r="G97" s="4">
        <v>57.23</v>
      </c>
      <c r="H97" s="4">
        <v>129.81</v>
      </c>
      <c r="I97" s="4">
        <v>135.47999999999999</v>
      </c>
      <c r="J97" s="4">
        <v>8.4600000000000009</v>
      </c>
      <c r="K97" s="4">
        <v>8.33</v>
      </c>
      <c r="L97" s="4">
        <v>7.5</v>
      </c>
      <c r="M97" s="4">
        <v>11.4</v>
      </c>
      <c r="N97" s="4">
        <v>95.06</v>
      </c>
      <c r="O97" s="4">
        <v>2134</v>
      </c>
      <c r="P97" s="5">
        <v>4.1799999999999997E-2</v>
      </c>
      <c r="Q97" s="5">
        <v>0.95820000000000005</v>
      </c>
      <c r="R97" s="5">
        <v>2.3199999999999998E-2</v>
      </c>
      <c r="S97" s="5">
        <v>1E-3</v>
      </c>
      <c r="T97" s="5">
        <v>0.753</v>
      </c>
      <c r="U97" s="5">
        <v>0.7782</v>
      </c>
      <c r="V97" s="5">
        <v>2.2682000000000002</v>
      </c>
      <c r="W97" s="4">
        <v>1.3654999999999999</v>
      </c>
      <c r="X97" s="6">
        <v>115507.25</v>
      </c>
      <c r="Y97" s="6">
        <v>14441.79</v>
      </c>
      <c r="Z97" s="6">
        <v>5169.6099999999997</v>
      </c>
      <c r="AA97" s="6">
        <v>140460.04999999999</v>
      </c>
      <c r="AB97" s="6">
        <v>1082.07</v>
      </c>
      <c r="AC97" s="3" t="s">
        <v>148</v>
      </c>
      <c r="AD97" s="3" t="s">
        <v>36</v>
      </c>
    </row>
    <row r="98" spans="1:30">
      <c r="A98" s="2">
        <v>46018</v>
      </c>
      <c r="B98" s="3" t="s">
        <v>30</v>
      </c>
      <c r="C98" s="3" t="s">
        <v>51</v>
      </c>
      <c r="D98" s="3" t="s">
        <v>32</v>
      </c>
      <c r="E98" s="3" t="s">
        <v>33</v>
      </c>
      <c r="F98" s="3" t="s">
        <v>34</v>
      </c>
      <c r="G98" s="4">
        <v>100.75</v>
      </c>
      <c r="H98" s="4">
        <v>125.26</v>
      </c>
      <c r="I98" s="4">
        <v>128.30000000000001</v>
      </c>
      <c r="J98" s="4">
        <v>7.66</v>
      </c>
      <c r="K98" s="4">
        <v>7.43</v>
      </c>
      <c r="L98" s="4">
        <v>13.4</v>
      </c>
      <c r="M98" s="4">
        <v>21.1</v>
      </c>
      <c r="N98" s="4">
        <v>157</v>
      </c>
      <c r="O98" s="4">
        <v>2119</v>
      </c>
      <c r="P98" s="5">
        <v>2.3599999999999999E-2</v>
      </c>
      <c r="Q98" s="5">
        <v>0.97640000000000005</v>
      </c>
      <c r="R98" s="5">
        <v>2.6499999999999999E-2</v>
      </c>
      <c r="S98" s="5">
        <v>1.7999999999999999E-2</v>
      </c>
      <c r="T98" s="5">
        <v>0.75700000000000001</v>
      </c>
      <c r="U98" s="5">
        <v>0.75780000000000003</v>
      </c>
      <c r="V98" s="5">
        <v>1.2434000000000001</v>
      </c>
      <c r="W98" s="4">
        <v>0.79790000000000005</v>
      </c>
      <c r="X98" s="6">
        <v>104198.49</v>
      </c>
      <c r="Y98" s="6">
        <v>28324.75</v>
      </c>
      <c r="Z98" s="6">
        <v>5533.84</v>
      </c>
      <c r="AA98" s="6">
        <v>141515.04</v>
      </c>
      <c r="AB98" s="6">
        <v>1129.74</v>
      </c>
      <c r="AC98" s="3" t="s">
        <v>149</v>
      </c>
      <c r="AD98" s="3" t="s">
        <v>59</v>
      </c>
    </row>
    <row r="99" spans="1:30">
      <c r="A99" s="2">
        <v>46019</v>
      </c>
      <c r="B99" s="3" t="s">
        <v>30</v>
      </c>
      <c r="C99" s="3" t="s">
        <v>31</v>
      </c>
      <c r="D99" s="3" t="s">
        <v>32</v>
      </c>
      <c r="E99" s="3" t="s">
        <v>43</v>
      </c>
      <c r="F99" s="3" t="s">
        <v>40</v>
      </c>
      <c r="G99" s="4">
        <v>88.35</v>
      </c>
      <c r="H99" s="4">
        <v>138.25</v>
      </c>
      <c r="I99" s="4">
        <v>148.15</v>
      </c>
      <c r="J99" s="4">
        <v>7.61</v>
      </c>
      <c r="K99" s="4">
        <v>7.53</v>
      </c>
      <c r="L99" s="4">
        <v>5.0999999999999996</v>
      </c>
      <c r="M99" s="4">
        <v>16.899999999999999</v>
      </c>
      <c r="N99" s="4">
        <v>127.1</v>
      </c>
      <c r="O99" s="4">
        <v>2364.5</v>
      </c>
      <c r="P99" s="5">
        <v>6.6799999999999998E-2</v>
      </c>
      <c r="Q99" s="5">
        <v>0.93320000000000003</v>
      </c>
      <c r="R99" s="5">
        <v>2.12E-2</v>
      </c>
      <c r="S99" s="5">
        <v>6.8999999999999999E-3</v>
      </c>
      <c r="T99" s="5">
        <v>0.82210000000000005</v>
      </c>
      <c r="U99" s="5">
        <v>0.84770000000000001</v>
      </c>
      <c r="V99" s="5">
        <v>1.5648</v>
      </c>
      <c r="W99" s="4">
        <v>1.0876999999999999</v>
      </c>
      <c r="X99" s="6">
        <v>124370.14</v>
      </c>
      <c r="Y99" s="6">
        <v>19470.87</v>
      </c>
      <c r="Z99" s="6">
        <v>4891.46</v>
      </c>
      <c r="AA99" s="6">
        <v>155104</v>
      </c>
      <c r="AB99" s="6">
        <v>1121.8800000000001</v>
      </c>
      <c r="AC99" s="3" t="s">
        <v>150</v>
      </c>
      <c r="AD99" s="3" t="s">
        <v>36</v>
      </c>
    </row>
    <row r="100" spans="1:30">
      <c r="A100" s="2">
        <v>46020</v>
      </c>
      <c r="B100" s="3" t="s">
        <v>30</v>
      </c>
      <c r="C100" s="3" t="s">
        <v>37</v>
      </c>
      <c r="D100" s="3" t="s">
        <v>32</v>
      </c>
      <c r="E100" s="3" t="s">
        <v>62</v>
      </c>
      <c r="F100" s="3" t="s">
        <v>63</v>
      </c>
      <c r="G100" s="4">
        <v>101.14</v>
      </c>
      <c r="H100" s="4">
        <v>133.19</v>
      </c>
      <c r="I100" s="4">
        <v>137.77000000000001</v>
      </c>
      <c r="J100" s="4">
        <v>8.32</v>
      </c>
      <c r="K100" s="4">
        <v>8.18</v>
      </c>
      <c r="L100" s="4">
        <v>8.1</v>
      </c>
      <c r="M100" s="4">
        <v>15.6</v>
      </c>
      <c r="N100" s="4">
        <v>127.85</v>
      </c>
      <c r="O100" s="4">
        <v>2182.8000000000002</v>
      </c>
      <c r="P100" s="5">
        <v>3.32E-2</v>
      </c>
      <c r="Q100" s="5">
        <v>0.96679999999999999</v>
      </c>
      <c r="R100" s="5">
        <v>1.6899999999999998E-2</v>
      </c>
      <c r="S100" s="5">
        <v>2.7000000000000001E-3</v>
      </c>
      <c r="T100" s="5">
        <v>0.81740000000000002</v>
      </c>
      <c r="U100" s="5">
        <v>0.84199999999999997</v>
      </c>
      <c r="V100" s="5">
        <v>1.3169999999999999</v>
      </c>
      <c r="W100" s="4">
        <v>1.0418000000000001</v>
      </c>
      <c r="X100" s="6">
        <v>108101.39</v>
      </c>
      <c r="Y100" s="6">
        <v>22773.1</v>
      </c>
      <c r="Z100" s="6">
        <v>4522.54</v>
      </c>
      <c r="AA100" s="6">
        <v>141912.01</v>
      </c>
      <c r="AB100" s="6">
        <v>1065.45</v>
      </c>
      <c r="AC100" s="3" t="s">
        <v>151</v>
      </c>
      <c r="AD100" s="3" t="s">
        <v>36</v>
      </c>
    </row>
    <row r="101" spans="1:30">
      <c r="A101" s="2">
        <v>46021</v>
      </c>
      <c r="B101" s="3" t="s">
        <v>30</v>
      </c>
      <c r="C101" s="3" t="s">
        <v>37</v>
      </c>
      <c r="D101" s="3" t="s">
        <v>45</v>
      </c>
      <c r="E101" s="3" t="s">
        <v>33</v>
      </c>
      <c r="F101" s="3" t="s">
        <v>34</v>
      </c>
      <c r="G101" s="4">
        <v>69.92</v>
      </c>
      <c r="H101" s="4">
        <v>114.1</v>
      </c>
      <c r="I101" s="4">
        <v>119.72</v>
      </c>
      <c r="J101" s="4">
        <v>7.89</v>
      </c>
      <c r="K101" s="4">
        <v>7.82</v>
      </c>
      <c r="L101" s="4">
        <v>4.5999999999999996</v>
      </c>
      <c r="M101" s="4">
        <v>14.3</v>
      </c>
      <c r="N101" s="4">
        <v>111.48</v>
      </c>
      <c r="O101" s="4">
        <v>1830.6</v>
      </c>
      <c r="P101" s="5">
        <v>4.7E-2</v>
      </c>
      <c r="Q101" s="5">
        <v>0.95299999999999996</v>
      </c>
      <c r="R101" s="5">
        <v>2.76E-2</v>
      </c>
      <c r="S101" s="5">
        <v>1.6E-2</v>
      </c>
      <c r="T101" s="5">
        <v>0.82199999999999995</v>
      </c>
      <c r="U101" s="5">
        <v>0.84119999999999995</v>
      </c>
      <c r="V101" s="5">
        <v>1.6316999999999999</v>
      </c>
      <c r="W101" s="4">
        <v>1.0235000000000001</v>
      </c>
      <c r="X101" s="6">
        <v>74486.63</v>
      </c>
      <c r="Y101" s="6">
        <v>17880.72</v>
      </c>
      <c r="Z101" s="6">
        <v>4509.78</v>
      </c>
      <c r="AA101" s="6">
        <v>103051.55</v>
      </c>
      <c r="AB101" s="6">
        <v>903.21</v>
      </c>
      <c r="AC101" s="3" t="s">
        <v>152</v>
      </c>
      <c r="AD101" s="3" t="s">
        <v>36</v>
      </c>
    </row>
    <row r="102" spans="1:30">
      <c r="A102" s="2">
        <v>46022</v>
      </c>
      <c r="B102" s="3" t="s">
        <v>30</v>
      </c>
      <c r="C102" s="3" t="s">
        <v>42</v>
      </c>
      <c r="D102" s="3" t="s">
        <v>45</v>
      </c>
      <c r="E102" s="3" t="s">
        <v>39</v>
      </c>
      <c r="F102" s="3" t="s">
        <v>40</v>
      </c>
      <c r="G102" s="4">
        <v>113.9</v>
      </c>
      <c r="H102" s="4">
        <v>145.76</v>
      </c>
      <c r="I102" s="4">
        <v>155.37</v>
      </c>
      <c r="J102" s="4">
        <v>8.3800000000000008</v>
      </c>
      <c r="K102" s="4">
        <v>8.06</v>
      </c>
      <c r="L102" s="4">
        <v>19.100000000000001</v>
      </c>
      <c r="M102" s="4">
        <v>17.3</v>
      </c>
      <c r="N102" s="4">
        <v>139.35</v>
      </c>
      <c r="O102" s="4">
        <v>2485.6</v>
      </c>
      <c r="P102" s="5">
        <v>6.1899999999999997E-2</v>
      </c>
      <c r="Q102" s="5">
        <v>0.93810000000000004</v>
      </c>
      <c r="R102" s="5">
        <v>5.7000000000000002E-3</v>
      </c>
      <c r="S102" s="5">
        <v>9.5999999999999992E-3</v>
      </c>
      <c r="T102" s="5">
        <v>0.98</v>
      </c>
      <c r="U102" s="5">
        <v>0.98029999999999995</v>
      </c>
      <c r="V102" s="5">
        <v>1.2797000000000001</v>
      </c>
      <c r="W102" s="4">
        <v>1.046</v>
      </c>
      <c r="X102" s="6">
        <v>120649.1</v>
      </c>
      <c r="Y102" s="6">
        <v>20262</v>
      </c>
      <c r="Z102" s="6">
        <v>5639.8</v>
      </c>
      <c r="AA102" s="6">
        <v>152390.13</v>
      </c>
      <c r="AB102" s="6">
        <v>1045.48</v>
      </c>
      <c r="AC102" s="3" t="s">
        <v>153</v>
      </c>
      <c r="AD102" s="3" t="s">
        <v>36</v>
      </c>
    </row>
    <row r="103" spans="1:30">
      <c r="A103" s="2">
        <v>46023</v>
      </c>
      <c r="B103" s="3" t="s">
        <v>30</v>
      </c>
      <c r="C103" s="3" t="s">
        <v>37</v>
      </c>
      <c r="D103" s="3" t="s">
        <v>32</v>
      </c>
      <c r="E103" s="3" t="s">
        <v>46</v>
      </c>
      <c r="F103" s="3" t="s">
        <v>47</v>
      </c>
      <c r="G103" s="4">
        <v>64.56</v>
      </c>
      <c r="H103" s="4">
        <v>129.96</v>
      </c>
      <c r="I103" s="4">
        <v>136.69</v>
      </c>
      <c r="J103" s="4">
        <v>8.39</v>
      </c>
      <c r="K103" s="4">
        <v>7.97</v>
      </c>
      <c r="L103" s="4">
        <v>25.4</v>
      </c>
      <c r="M103" s="4">
        <v>12.8</v>
      </c>
      <c r="N103" s="4">
        <v>101.69</v>
      </c>
      <c r="O103" s="4">
        <v>2275.4</v>
      </c>
      <c r="P103" s="5">
        <v>4.9299999999999997E-2</v>
      </c>
      <c r="Q103" s="5">
        <v>0.95069999999999999</v>
      </c>
      <c r="R103" s="5">
        <v>2.52E-2</v>
      </c>
      <c r="S103" s="5">
        <v>1.41E-2</v>
      </c>
      <c r="T103" s="5">
        <v>0.70720000000000005</v>
      </c>
      <c r="U103" s="5">
        <v>0.69520000000000004</v>
      </c>
      <c r="V103" s="5">
        <v>2.0131000000000001</v>
      </c>
      <c r="W103" s="4">
        <v>1.278</v>
      </c>
      <c r="X103" s="6">
        <v>111533.96</v>
      </c>
      <c r="Y103" s="6">
        <v>16883.36</v>
      </c>
      <c r="Z103" s="6">
        <v>5391.67</v>
      </c>
      <c r="AA103" s="6">
        <v>137960.97</v>
      </c>
      <c r="AB103" s="6">
        <v>1061.5899999999999</v>
      </c>
      <c r="AC103" s="3" t="s">
        <v>154</v>
      </c>
      <c r="AD103" s="3" t="s">
        <v>36</v>
      </c>
    </row>
    <row r="104" spans="1:30">
      <c r="A104" s="2">
        <v>46024</v>
      </c>
      <c r="B104" s="3" t="s">
        <v>30</v>
      </c>
      <c r="C104" s="3" t="s">
        <v>31</v>
      </c>
      <c r="D104" s="3" t="s">
        <v>32</v>
      </c>
      <c r="E104" s="3" t="s">
        <v>46</v>
      </c>
      <c r="F104" s="3" t="s">
        <v>47</v>
      </c>
      <c r="G104" s="4">
        <v>72.959999999999994</v>
      </c>
      <c r="H104" s="4">
        <v>104.35</v>
      </c>
      <c r="I104" s="4">
        <v>112.09</v>
      </c>
      <c r="J104" s="4">
        <v>8.01</v>
      </c>
      <c r="K104" s="4">
        <v>7.79</v>
      </c>
      <c r="L104" s="4">
        <v>13.7</v>
      </c>
      <c r="M104" s="4">
        <v>16.3</v>
      </c>
      <c r="N104" s="4">
        <v>126.59</v>
      </c>
      <c r="O104" s="4">
        <v>1887</v>
      </c>
      <c r="P104" s="5">
        <v>6.9000000000000006E-2</v>
      </c>
      <c r="Q104" s="5">
        <v>0.93100000000000005</v>
      </c>
      <c r="R104" s="5">
        <v>3.78E-2</v>
      </c>
      <c r="S104" s="5">
        <v>9.1999999999999998E-3</v>
      </c>
      <c r="T104" s="5">
        <v>0.91149999999999998</v>
      </c>
      <c r="U104" s="5">
        <v>0.92130000000000001</v>
      </c>
      <c r="V104" s="5">
        <v>1.4301999999999999</v>
      </c>
      <c r="W104" s="4">
        <v>0.82430000000000003</v>
      </c>
      <c r="X104" s="6">
        <v>93624.62</v>
      </c>
      <c r="Y104" s="6">
        <v>23194.23</v>
      </c>
      <c r="Z104" s="6">
        <v>5177.6000000000004</v>
      </c>
      <c r="AA104" s="6">
        <v>126182.14</v>
      </c>
      <c r="AB104" s="6">
        <v>1209.21</v>
      </c>
      <c r="AC104" s="3" t="s">
        <v>155</v>
      </c>
      <c r="AD104" s="3" t="s">
        <v>59</v>
      </c>
    </row>
    <row r="105" spans="1:30">
      <c r="A105" s="2">
        <v>46025</v>
      </c>
      <c r="B105" s="3" t="s">
        <v>30</v>
      </c>
      <c r="C105" s="3" t="s">
        <v>37</v>
      </c>
      <c r="D105" s="3" t="s">
        <v>38</v>
      </c>
      <c r="E105" s="3" t="s">
        <v>39</v>
      </c>
      <c r="F105" s="3" t="s">
        <v>40</v>
      </c>
      <c r="G105" s="4">
        <v>75.62</v>
      </c>
      <c r="H105" s="4">
        <v>126.75</v>
      </c>
      <c r="I105" s="4">
        <v>132.5</v>
      </c>
      <c r="J105" s="4">
        <v>7.22</v>
      </c>
      <c r="K105" s="4">
        <v>7.09</v>
      </c>
      <c r="L105" s="4">
        <v>8</v>
      </c>
      <c r="M105" s="4">
        <v>18.2</v>
      </c>
      <c r="N105" s="4">
        <v>128.83000000000001</v>
      </c>
      <c r="O105" s="4">
        <v>2275.8000000000002</v>
      </c>
      <c r="P105" s="5">
        <v>4.3400000000000001E-2</v>
      </c>
      <c r="Q105" s="5">
        <v>0.95660000000000001</v>
      </c>
      <c r="R105" s="5">
        <v>3.2000000000000001E-2</v>
      </c>
      <c r="S105" s="5">
        <v>1.15E-2</v>
      </c>
      <c r="T105" s="5">
        <v>0.77170000000000005</v>
      </c>
      <c r="U105" s="5">
        <v>0.78620000000000001</v>
      </c>
      <c r="V105" s="5">
        <v>1.6761999999999999</v>
      </c>
      <c r="W105" s="4">
        <v>0.98380000000000001</v>
      </c>
      <c r="X105" s="6">
        <v>86667.97</v>
      </c>
      <c r="Y105" s="6">
        <v>20490.68</v>
      </c>
      <c r="Z105" s="6">
        <v>5662.77</v>
      </c>
      <c r="AA105" s="6">
        <v>117607.88</v>
      </c>
      <c r="AB105" s="6">
        <v>927.88</v>
      </c>
      <c r="AC105" s="3" t="s">
        <v>156</v>
      </c>
      <c r="AD105" s="3" t="s">
        <v>49</v>
      </c>
    </row>
    <row r="106" spans="1:30">
      <c r="A106" s="2">
        <v>46026</v>
      </c>
      <c r="B106" s="3" t="s">
        <v>30</v>
      </c>
      <c r="C106" s="3" t="s">
        <v>37</v>
      </c>
      <c r="D106" s="3" t="s">
        <v>32</v>
      </c>
      <c r="E106" s="3" t="s">
        <v>46</v>
      </c>
      <c r="F106" s="3" t="s">
        <v>47</v>
      </c>
      <c r="G106" s="4">
        <v>66.540000000000006</v>
      </c>
      <c r="H106" s="4">
        <v>70.14</v>
      </c>
      <c r="I106" s="4">
        <v>72.42</v>
      </c>
      <c r="J106" s="4">
        <v>8.11</v>
      </c>
      <c r="K106" s="4">
        <v>7.68</v>
      </c>
      <c r="L106" s="4">
        <v>25.9</v>
      </c>
      <c r="M106" s="4">
        <v>14.1</v>
      </c>
      <c r="N106" s="4">
        <v>108</v>
      </c>
      <c r="O106" s="4">
        <v>1600.4</v>
      </c>
      <c r="P106" s="5">
        <v>3.1399999999999997E-2</v>
      </c>
      <c r="Q106" s="5">
        <v>0.96860000000000002</v>
      </c>
      <c r="R106" s="5">
        <v>2.63E-2</v>
      </c>
      <c r="S106" s="5">
        <v>3.09E-2</v>
      </c>
      <c r="T106" s="5">
        <v>0.70979999999999999</v>
      </c>
      <c r="U106" s="5">
        <v>0.68379999999999996</v>
      </c>
      <c r="V106" s="5">
        <v>1.0542</v>
      </c>
      <c r="W106" s="4">
        <v>0.64939999999999998</v>
      </c>
      <c r="X106" s="6">
        <v>57223.81</v>
      </c>
      <c r="Y106" s="6">
        <v>19463.55</v>
      </c>
      <c r="Z106" s="6">
        <v>3579.89</v>
      </c>
      <c r="AA106" s="6">
        <v>87214.7</v>
      </c>
      <c r="AB106" s="6">
        <v>1243.45</v>
      </c>
      <c r="AC106" s="3" t="s">
        <v>157</v>
      </c>
      <c r="AD106" s="3" t="s">
        <v>36</v>
      </c>
    </row>
    <row r="107" spans="1:30">
      <c r="A107" s="2">
        <v>46027</v>
      </c>
      <c r="B107" s="3" t="s">
        <v>30</v>
      </c>
      <c r="C107" s="3" t="s">
        <v>51</v>
      </c>
      <c r="D107" s="3" t="s">
        <v>45</v>
      </c>
      <c r="E107" s="3" t="s">
        <v>33</v>
      </c>
      <c r="F107" s="3" t="s">
        <v>34</v>
      </c>
      <c r="G107" s="4">
        <v>92.03</v>
      </c>
      <c r="H107" s="4">
        <v>107.4</v>
      </c>
      <c r="I107" s="4">
        <v>112.72</v>
      </c>
      <c r="J107" s="4">
        <v>8.39</v>
      </c>
      <c r="K107" s="4">
        <v>8.1300000000000008</v>
      </c>
      <c r="L107" s="4">
        <v>15.7</v>
      </c>
      <c r="M107" s="4">
        <v>19</v>
      </c>
      <c r="N107" s="4">
        <v>154.06</v>
      </c>
      <c r="O107" s="4">
        <v>2013.6</v>
      </c>
      <c r="P107" s="5">
        <v>4.7199999999999999E-2</v>
      </c>
      <c r="Q107" s="5">
        <v>0.95279999999999998</v>
      </c>
      <c r="R107" s="5">
        <v>3.4799999999999998E-2</v>
      </c>
      <c r="S107" s="5">
        <v>1.2200000000000001E-2</v>
      </c>
      <c r="T107" s="5">
        <v>0.79190000000000005</v>
      </c>
      <c r="U107" s="5">
        <v>0.79569999999999996</v>
      </c>
      <c r="V107" s="5">
        <v>1.1671</v>
      </c>
      <c r="W107" s="4">
        <v>0.69710000000000005</v>
      </c>
      <c r="X107" s="6">
        <v>79440.63</v>
      </c>
      <c r="Y107" s="6">
        <v>29690.15</v>
      </c>
      <c r="Z107" s="6">
        <v>5034.28</v>
      </c>
      <c r="AA107" s="6">
        <v>117102.19</v>
      </c>
      <c r="AB107" s="6">
        <v>1090.3399999999999</v>
      </c>
      <c r="AC107" s="3" t="s">
        <v>158</v>
      </c>
      <c r="AD107" s="3" t="s">
        <v>36</v>
      </c>
    </row>
    <row r="108" spans="1:30">
      <c r="A108" s="2">
        <v>46028</v>
      </c>
      <c r="B108" s="3" t="s">
        <v>30</v>
      </c>
      <c r="C108" s="3" t="s">
        <v>31</v>
      </c>
      <c r="D108" s="3" t="s">
        <v>32</v>
      </c>
      <c r="E108" s="3" t="s">
        <v>39</v>
      </c>
      <c r="F108" s="3" t="s">
        <v>40</v>
      </c>
      <c r="G108" s="4">
        <v>132.79</v>
      </c>
      <c r="H108" s="4">
        <v>110.75</v>
      </c>
      <c r="I108" s="4">
        <v>121.37</v>
      </c>
      <c r="J108" s="4">
        <v>7.57</v>
      </c>
      <c r="K108" s="4">
        <v>7.44</v>
      </c>
      <c r="L108" s="4">
        <v>7.9</v>
      </c>
      <c r="M108" s="4">
        <v>16.7</v>
      </c>
      <c r="N108" s="4">
        <v>124.36</v>
      </c>
      <c r="O108" s="4">
        <v>2025</v>
      </c>
      <c r="P108" s="5">
        <v>8.7499999999999994E-2</v>
      </c>
      <c r="Q108" s="5">
        <v>0.91249999999999998</v>
      </c>
      <c r="R108" s="5">
        <v>4.19E-2</v>
      </c>
      <c r="S108" s="5">
        <v>1.17E-2</v>
      </c>
      <c r="T108" s="5">
        <v>0.83740000000000003</v>
      </c>
      <c r="U108" s="5">
        <v>0.67830000000000001</v>
      </c>
      <c r="V108" s="5">
        <v>0.83399999999999996</v>
      </c>
      <c r="W108" s="4">
        <v>0.89059999999999995</v>
      </c>
      <c r="X108" s="6">
        <v>91912.38</v>
      </c>
      <c r="Y108" s="6">
        <v>23477.02</v>
      </c>
      <c r="Z108" s="6">
        <v>5321.84</v>
      </c>
      <c r="AA108" s="6">
        <v>124030.03</v>
      </c>
      <c r="AB108" s="6">
        <v>1119.8900000000001</v>
      </c>
      <c r="AC108" s="3" t="s">
        <v>159</v>
      </c>
      <c r="AD108" s="3" t="s">
        <v>49</v>
      </c>
    </row>
    <row r="109" spans="1:30">
      <c r="A109" s="2">
        <v>46029</v>
      </c>
      <c r="B109" s="3" t="s">
        <v>30</v>
      </c>
      <c r="C109" s="3" t="s">
        <v>37</v>
      </c>
      <c r="D109" s="3" t="s">
        <v>32</v>
      </c>
      <c r="E109" s="3" t="s">
        <v>46</v>
      </c>
      <c r="F109" s="3" t="s">
        <v>47</v>
      </c>
      <c r="G109" s="4">
        <v>149.38</v>
      </c>
      <c r="H109" s="4">
        <v>146.36000000000001</v>
      </c>
      <c r="I109" s="4">
        <v>152.41999999999999</v>
      </c>
      <c r="J109" s="4">
        <v>8.48</v>
      </c>
      <c r="K109" s="4">
        <v>8.42</v>
      </c>
      <c r="L109" s="4">
        <v>3.3</v>
      </c>
      <c r="M109" s="4">
        <v>15.1</v>
      </c>
      <c r="N109" s="4">
        <v>127.36</v>
      </c>
      <c r="O109" s="4">
        <v>2313.5</v>
      </c>
      <c r="P109" s="5">
        <v>3.9800000000000002E-2</v>
      </c>
      <c r="Q109" s="5">
        <v>0.96020000000000005</v>
      </c>
      <c r="R109" s="5">
        <v>3.78E-2</v>
      </c>
      <c r="S109" s="5">
        <v>1.2999999999999999E-2</v>
      </c>
      <c r="T109" s="5">
        <v>0.88119999999999998</v>
      </c>
      <c r="U109" s="5">
        <v>0.84650000000000003</v>
      </c>
      <c r="V109" s="5">
        <v>0.9798</v>
      </c>
      <c r="W109" s="4">
        <v>1.1492</v>
      </c>
      <c r="X109" s="6">
        <v>124190.16</v>
      </c>
      <c r="Y109" s="6">
        <v>24605.78</v>
      </c>
      <c r="Z109" s="6">
        <v>6230.07</v>
      </c>
      <c r="AA109" s="6">
        <v>157914.12</v>
      </c>
      <c r="AB109" s="6">
        <v>1078.96</v>
      </c>
      <c r="AC109" s="3" t="s">
        <v>160</v>
      </c>
      <c r="AD109" s="3" t="s">
        <v>56</v>
      </c>
    </row>
    <row r="110" spans="1:30">
      <c r="A110" s="2">
        <v>46030</v>
      </c>
      <c r="B110" s="3" t="s">
        <v>30</v>
      </c>
      <c r="C110" s="3" t="s">
        <v>37</v>
      </c>
      <c r="D110" s="3" t="s">
        <v>32</v>
      </c>
      <c r="E110" s="3" t="s">
        <v>39</v>
      </c>
      <c r="F110" s="3" t="s">
        <v>40</v>
      </c>
      <c r="G110" s="4">
        <v>77.06</v>
      </c>
      <c r="H110" s="4">
        <v>132.63999999999999</v>
      </c>
      <c r="I110" s="4">
        <v>137.72</v>
      </c>
      <c r="J110" s="4">
        <v>8.19</v>
      </c>
      <c r="K110" s="4">
        <v>7.97</v>
      </c>
      <c r="L110" s="4">
        <v>13.5</v>
      </c>
      <c r="M110" s="4">
        <v>13.1</v>
      </c>
      <c r="N110" s="4">
        <v>104.36</v>
      </c>
      <c r="O110" s="4">
        <v>2201.1</v>
      </c>
      <c r="P110" s="5">
        <v>3.6900000000000002E-2</v>
      </c>
      <c r="Q110" s="5">
        <v>0.96309999999999996</v>
      </c>
      <c r="R110" s="5">
        <v>3.85E-2</v>
      </c>
      <c r="S110" s="5">
        <v>1.7399999999999999E-2</v>
      </c>
      <c r="T110" s="5">
        <v>0.75929999999999997</v>
      </c>
      <c r="U110" s="5">
        <v>0.76190000000000002</v>
      </c>
      <c r="V110" s="5">
        <v>1.7212000000000001</v>
      </c>
      <c r="W110" s="4">
        <v>1.2709999999999999</v>
      </c>
      <c r="X110" s="6">
        <v>105788.33</v>
      </c>
      <c r="Y110" s="6">
        <v>19996.29</v>
      </c>
      <c r="Z110" s="6">
        <v>5120.08</v>
      </c>
      <c r="AA110" s="6">
        <v>137737.32</v>
      </c>
      <c r="AB110" s="6">
        <v>1038.4100000000001</v>
      </c>
      <c r="AC110" s="3" t="s">
        <v>161</v>
      </c>
      <c r="AD110" s="3" t="s">
        <v>59</v>
      </c>
    </row>
    <row r="111" spans="1:30">
      <c r="A111" s="2">
        <v>46031</v>
      </c>
      <c r="B111" s="3" t="s">
        <v>30</v>
      </c>
      <c r="C111" s="3" t="s">
        <v>51</v>
      </c>
      <c r="D111" s="3" t="s">
        <v>38</v>
      </c>
      <c r="E111" s="3" t="s">
        <v>46</v>
      </c>
      <c r="F111" s="3" t="s">
        <v>47</v>
      </c>
      <c r="G111" s="4">
        <v>138.37</v>
      </c>
      <c r="H111" s="4">
        <v>104.31</v>
      </c>
      <c r="I111" s="4">
        <v>105.91</v>
      </c>
      <c r="J111" s="4">
        <v>7.95</v>
      </c>
      <c r="K111" s="4">
        <v>7.62</v>
      </c>
      <c r="L111" s="4">
        <v>19.2</v>
      </c>
      <c r="M111" s="4">
        <v>18.7</v>
      </c>
      <c r="N111" s="4">
        <v>142.72</v>
      </c>
      <c r="O111" s="4">
        <v>2014.7</v>
      </c>
      <c r="P111" s="5">
        <v>1.4999999999999999E-2</v>
      </c>
      <c r="Q111" s="5">
        <v>0.98499999999999999</v>
      </c>
      <c r="R111" s="5">
        <v>2.9000000000000001E-2</v>
      </c>
      <c r="S111" s="5">
        <v>1.6E-2</v>
      </c>
      <c r="T111" s="5">
        <v>0.82299999999999995</v>
      </c>
      <c r="U111" s="5">
        <v>0.58589999999999998</v>
      </c>
      <c r="V111" s="5">
        <v>0.75390000000000001</v>
      </c>
      <c r="W111" s="4">
        <v>0.73089999999999999</v>
      </c>
      <c r="X111" s="6">
        <v>76074.38</v>
      </c>
      <c r="Y111" s="6">
        <v>22934.57</v>
      </c>
      <c r="Z111" s="6">
        <v>5627.49</v>
      </c>
      <c r="AA111" s="6">
        <v>107633.59</v>
      </c>
      <c r="AB111" s="6">
        <v>1031.81</v>
      </c>
      <c r="AC111" s="3" t="s">
        <v>162</v>
      </c>
      <c r="AD111" s="3" t="s">
        <v>49</v>
      </c>
    </row>
    <row r="112" spans="1:30">
      <c r="A112" s="2">
        <v>46032</v>
      </c>
      <c r="B112" s="3" t="s">
        <v>30</v>
      </c>
      <c r="C112" s="3" t="s">
        <v>31</v>
      </c>
      <c r="D112" s="3" t="s">
        <v>38</v>
      </c>
      <c r="E112" s="3" t="s">
        <v>33</v>
      </c>
      <c r="F112" s="3" t="s">
        <v>34</v>
      </c>
      <c r="G112" s="4">
        <v>71.150000000000006</v>
      </c>
      <c r="H112" s="4">
        <v>98.86</v>
      </c>
      <c r="I112" s="4">
        <v>104.55</v>
      </c>
      <c r="J112" s="4">
        <v>7.37</v>
      </c>
      <c r="K112" s="4">
        <v>6.85</v>
      </c>
      <c r="L112" s="4">
        <v>31.2</v>
      </c>
      <c r="M112" s="4">
        <v>17.7</v>
      </c>
      <c r="N112" s="4">
        <v>121.44</v>
      </c>
      <c r="O112" s="4">
        <v>1887.3</v>
      </c>
      <c r="P112" s="5">
        <v>5.45E-2</v>
      </c>
      <c r="Q112" s="5">
        <v>0.94550000000000001</v>
      </c>
      <c r="R112" s="5">
        <v>5.0799999999999998E-2</v>
      </c>
      <c r="S112" s="5">
        <v>1.5E-3</v>
      </c>
      <c r="T112" s="5">
        <v>0.83150000000000002</v>
      </c>
      <c r="U112" s="5">
        <v>0.81020000000000003</v>
      </c>
      <c r="V112" s="5">
        <v>1.3894</v>
      </c>
      <c r="W112" s="4">
        <v>0.81399999999999995</v>
      </c>
      <c r="X112" s="6">
        <v>84709.56</v>
      </c>
      <c r="Y112" s="6">
        <v>18624.8</v>
      </c>
      <c r="Z112" s="6">
        <v>4060.88</v>
      </c>
      <c r="AA112" s="6">
        <v>109985.47</v>
      </c>
      <c r="AB112" s="6">
        <v>1112.55</v>
      </c>
      <c r="AC112" s="3" t="s">
        <v>163</v>
      </c>
      <c r="AD112" s="3" t="s">
        <v>36</v>
      </c>
    </row>
    <row r="113" spans="1:30">
      <c r="A113" s="2">
        <v>46033</v>
      </c>
      <c r="B113" s="3" t="s">
        <v>30</v>
      </c>
      <c r="C113" s="3" t="s">
        <v>31</v>
      </c>
      <c r="D113" s="3" t="s">
        <v>45</v>
      </c>
      <c r="E113" s="3" t="s">
        <v>43</v>
      </c>
      <c r="F113" s="3" t="s">
        <v>40</v>
      </c>
      <c r="G113" s="4">
        <v>106.28</v>
      </c>
      <c r="H113" s="4">
        <v>111.38</v>
      </c>
      <c r="I113" s="4">
        <v>118.77</v>
      </c>
      <c r="J113" s="4">
        <v>8.19</v>
      </c>
      <c r="K113" s="4">
        <v>8.0299999999999994</v>
      </c>
      <c r="L113" s="4">
        <v>9.8000000000000007</v>
      </c>
      <c r="M113" s="4">
        <v>19.2</v>
      </c>
      <c r="N113" s="4">
        <v>154.52000000000001</v>
      </c>
      <c r="O113" s="4">
        <v>2133.1</v>
      </c>
      <c r="P113" s="5">
        <v>6.2300000000000001E-2</v>
      </c>
      <c r="Q113" s="5">
        <v>0.93769999999999998</v>
      </c>
      <c r="R113" s="5">
        <v>2.35E-2</v>
      </c>
      <c r="S113" s="5">
        <v>4.4999999999999997E-3</v>
      </c>
      <c r="T113" s="5">
        <v>0.71960000000000002</v>
      </c>
      <c r="U113" s="5">
        <v>0.73580000000000001</v>
      </c>
      <c r="V113" s="5">
        <v>1.0479000000000001</v>
      </c>
      <c r="W113" s="4">
        <v>0.7208</v>
      </c>
      <c r="X113" s="6">
        <v>83882.78</v>
      </c>
      <c r="Y113" s="6">
        <v>28804.03</v>
      </c>
      <c r="Z113" s="6">
        <v>5152.18</v>
      </c>
      <c r="AA113" s="6">
        <v>123066.44</v>
      </c>
      <c r="AB113" s="6">
        <v>1104.97</v>
      </c>
      <c r="AC113" s="3" t="s">
        <v>164</v>
      </c>
      <c r="AD113" s="3" t="s">
        <v>36</v>
      </c>
    </row>
    <row r="114" spans="1:30">
      <c r="A114" s="2">
        <v>46034</v>
      </c>
      <c r="B114" s="3" t="s">
        <v>30</v>
      </c>
      <c r="C114" s="3" t="s">
        <v>51</v>
      </c>
      <c r="D114" s="3" t="s">
        <v>45</v>
      </c>
      <c r="E114" s="3" t="s">
        <v>52</v>
      </c>
      <c r="F114" s="3" t="s">
        <v>47</v>
      </c>
      <c r="G114" s="4">
        <v>137.77000000000001</v>
      </c>
      <c r="H114" s="4">
        <v>104.13</v>
      </c>
      <c r="I114" s="4">
        <v>109.1</v>
      </c>
      <c r="J114" s="4">
        <v>7.31</v>
      </c>
      <c r="K114" s="4">
        <v>7.26</v>
      </c>
      <c r="L114" s="4">
        <v>2.7</v>
      </c>
      <c r="M114" s="4">
        <v>16.5</v>
      </c>
      <c r="N114" s="4">
        <v>119.63</v>
      </c>
      <c r="O114" s="4">
        <v>1881.6</v>
      </c>
      <c r="P114" s="5">
        <v>4.5600000000000002E-2</v>
      </c>
      <c r="Q114" s="5">
        <v>0.95440000000000003</v>
      </c>
      <c r="R114" s="5">
        <v>1.8100000000000002E-2</v>
      </c>
      <c r="S114" s="5">
        <v>1.09E-2</v>
      </c>
      <c r="T114" s="5">
        <v>0.79720000000000002</v>
      </c>
      <c r="U114" s="5">
        <v>0.59230000000000005</v>
      </c>
      <c r="V114" s="5">
        <v>0.75580000000000003</v>
      </c>
      <c r="W114" s="4">
        <v>0.87039999999999995</v>
      </c>
      <c r="X114" s="6">
        <v>91514.02</v>
      </c>
      <c r="Y114" s="6">
        <v>21206.78</v>
      </c>
      <c r="Z114" s="6">
        <v>3792.3</v>
      </c>
      <c r="AA114" s="6">
        <v>120441.61</v>
      </c>
      <c r="AB114" s="6">
        <v>1156.6500000000001</v>
      </c>
      <c r="AC114" s="3" t="s">
        <v>165</v>
      </c>
      <c r="AD114" s="3" t="s">
        <v>49</v>
      </c>
    </row>
    <row r="115" spans="1:30">
      <c r="A115" s="2">
        <v>46035</v>
      </c>
      <c r="B115" s="3" t="s">
        <v>30</v>
      </c>
      <c r="C115" s="3" t="s">
        <v>31</v>
      </c>
      <c r="D115" s="3" t="s">
        <v>32</v>
      </c>
      <c r="E115" s="3" t="s">
        <v>39</v>
      </c>
      <c r="F115" s="3" t="s">
        <v>40</v>
      </c>
      <c r="G115" s="4">
        <v>86.1</v>
      </c>
      <c r="H115" s="4">
        <v>104.67</v>
      </c>
      <c r="I115" s="4">
        <v>112.17</v>
      </c>
      <c r="J115" s="4">
        <v>7.7</v>
      </c>
      <c r="K115" s="4">
        <v>7.45</v>
      </c>
      <c r="L115" s="4">
        <v>15</v>
      </c>
      <c r="M115" s="4">
        <v>14.9</v>
      </c>
      <c r="N115" s="4">
        <v>111.01</v>
      </c>
      <c r="O115" s="4">
        <v>2122.8000000000002</v>
      </c>
      <c r="P115" s="5">
        <v>6.6799999999999998E-2</v>
      </c>
      <c r="Q115" s="5">
        <v>0.93320000000000003</v>
      </c>
      <c r="R115" s="5">
        <v>7.3000000000000001E-3</v>
      </c>
      <c r="S115" s="5">
        <v>1.55E-2</v>
      </c>
      <c r="T115" s="5">
        <v>0.84279999999999999</v>
      </c>
      <c r="U115" s="5">
        <v>0.84299999999999997</v>
      </c>
      <c r="V115" s="5">
        <v>1.2158</v>
      </c>
      <c r="W115" s="4">
        <v>0.94289999999999996</v>
      </c>
      <c r="X115" s="6">
        <v>71917.3</v>
      </c>
      <c r="Y115" s="6">
        <v>18546.310000000001</v>
      </c>
      <c r="Z115" s="6">
        <v>5296.3</v>
      </c>
      <c r="AA115" s="6">
        <v>100100.99</v>
      </c>
      <c r="AB115" s="6">
        <v>956.31</v>
      </c>
      <c r="AC115" s="3" t="s">
        <v>166</v>
      </c>
      <c r="AD115" s="3" t="s">
        <v>49</v>
      </c>
    </row>
    <row r="116" spans="1:30">
      <c r="A116" s="2">
        <v>46036</v>
      </c>
      <c r="B116" s="3" t="s">
        <v>30</v>
      </c>
      <c r="C116" s="3" t="s">
        <v>42</v>
      </c>
      <c r="D116" s="3" t="s">
        <v>32</v>
      </c>
      <c r="E116" s="3" t="s">
        <v>39</v>
      </c>
      <c r="F116" s="3" t="s">
        <v>40</v>
      </c>
      <c r="G116" s="4">
        <v>86.96</v>
      </c>
      <c r="H116" s="4">
        <v>126.84</v>
      </c>
      <c r="I116" s="4">
        <v>133.29</v>
      </c>
      <c r="J116" s="4">
        <v>7.59</v>
      </c>
      <c r="K116" s="4">
        <v>7.45</v>
      </c>
      <c r="L116" s="4">
        <v>8.6999999999999993</v>
      </c>
      <c r="M116" s="4">
        <v>14.1</v>
      </c>
      <c r="N116" s="4">
        <v>104.94</v>
      </c>
      <c r="O116" s="4">
        <v>2270.3000000000002</v>
      </c>
      <c r="P116" s="5">
        <v>4.8399999999999999E-2</v>
      </c>
      <c r="Q116" s="5">
        <v>0.9516</v>
      </c>
      <c r="R116" s="5">
        <v>4.41E-2</v>
      </c>
      <c r="S116" s="5">
        <v>1.3599999999999999E-2</v>
      </c>
      <c r="T116" s="5">
        <v>0.92090000000000005</v>
      </c>
      <c r="U116" s="5">
        <v>0.9355</v>
      </c>
      <c r="V116" s="5">
        <v>1.4584999999999999</v>
      </c>
      <c r="W116" s="4">
        <v>1.2087000000000001</v>
      </c>
      <c r="X116" s="6">
        <v>104465.60000000001</v>
      </c>
      <c r="Y116" s="6">
        <v>17753.05</v>
      </c>
      <c r="Z116" s="6">
        <v>5322.26</v>
      </c>
      <c r="AA116" s="6">
        <v>131612.5</v>
      </c>
      <c r="AB116" s="6">
        <v>1037.6400000000001</v>
      </c>
      <c r="AC116" s="3" t="s">
        <v>167</v>
      </c>
      <c r="AD116" s="3" t="s">
        <v>36</v>
      </c>
    </row>
    <row r="117" spans="1:30">
      <c r="A117" s="2">
        <v>46037</v>
      </c>
      <c r="B117" s="3" t="s">
        <v>30</v>
      </c>
      <c r="C117" s="3" t="s">
        <v>37</v>
      </c>
      <c r="D117" s="3" t="s">
        <v>32</v>
      </c>
      <c r="E117" s="3" t="s">
        <v>52</v>
      </c>
      <c r="F117" s="3" t="s">
        <v>47</v>
      </c>
      <c r="G117" s="4">
        <v>124.02</v>
      </c>
      <c r="H117" s="4">
        <v>104.03</v>
      </c>
      <c r="I117" s="4">
        <v>107.12</v>
      </c>
      <c r="J117" s="4">
        <v>8.5</v>
      </c>
      <c r="K117" s="4">
        <v>8.3000000000000007</v>
      </c>
      <c r="L117" s="4">
        <v>11.9</v>
      </c>
      <c r="M117" s="4">
        <v>14.5</v>
      </c>
      <c r="N117" s="4">
        <v>120.14</v>
      </c>
      <c r="O117" s="4">
        <v>1922.3</v>
      </c>
      <c r="P117" s="5">
        <v>2.8899999999999999E-2</v>
      </c>
      <c r="Q117" s="5">
        <v>0.97109999999999996</v>
      </c>
      <c r="R117" s="5">
        <v>2E-3</v>
      </c>
      <c r="S117" s="5">
        <v>1.49E-2</v>
      </c>
      <c r="T117" s="5">
        <v>0.77449999999999997</v>
      </c>
      <c r="U117" s="5">
        <v>0.625</v>
      </c>
      <c r="V117" s="5">
        <v>0.83879999999999999</v>
      </c>
      <c r="W117" s="4">
        <v>0.8659</v>
      </c>
      <c r="X117" s="6">
        <v>70613.22</v>
      </c>
      <c r="Y117" s="6">
        <v>18363.84</v>
      </c>
      <c r="Z117" s="6">
        <v>4743.87</v>
      </c>
      <c r="AA117" s="6">
        <v>97288.66</v>
      </c>
      <c r="AB117" s="6">
        <v>935.22</v>
      </c>
      <c r="AC117" s="3" t="s">
        <v>168</v>
      </c>
      <c r="AD117" s="3" t="s">
        <v>36</v>
      </c>
    </row>
    <row r="118" spans="1:30">
      <c r="A118" s="2">
        <v>46038</v>
      </c>
      <c r="B118" s="3" t="s">
        <v>30</v>
      </c>
      <c r="C118" s="3" t="s">
        <v>42</v>
      </c>
      <c r="D118" s="3" t="s">
        <v>38</v>
      </c>
      <c r="E118" s="3" t="s">
        <v>39</v>
      </c>
      <c r="F118" s="3" t="s">
        <v>40</v>
      </c>
      <c r="G118" s="4">
        <v>97.04</v>
      </c>
      <c r="H118" s="4">
        <v>100.67</v>
      </c>
      <c r="I118" s="4">
        <v>105.94</v>
      </c>
      <c r="J118" s="4">
        <v>7.28</v>
      </c>
      <c r="K118" s="4">
        <v>6.8</v>
      </c>
      <c r="L118" s="4">
        <v>28.7</v>
      </c>
      <c r="M118" s="4">
        <v>16.7</v>
      </c>
      <c r="N118" s="4">
        <v>113.61</v>
      </c>
      <c r="O118" s="4">
        <v>2047.2</v>
      </c>
      <c r="P118" s="5">
        <v>4.9700000000000001E-2</v>
      </c>
      <c r="Q118" s="5">
        <v>0.95030000000000003</v>
      </c>
      <c r="R118" s="5">
        <v>1.6199999999999999E-2</v>
      </c>
      <c r="S118" s="5">
        <v>1.41E-2</v>
      </c>
      <c r="T118" s="5">
        <v>0.79339999999999999</v>
      </c>
      <c r="U118" s="5">
        <v>0.75819999999999999</v>
      </c>
      <c r="V118" s="5">
        <v>1.0374000000000001</v>
      </c>
      <c r="W118" s="4">
        <v>0.8861</v>
      </c>
      <c r="X118" s="6">
        <v>89628.52</v>
      </c>
      <c r="Y118" s="6">
        <v>20348.57</v>
      </c>
      <c r="Z118" s="6">
        <v>4758.54</v>
      </c>
      <c r="AA118" s="6">
        <v>121223.44</v>
      </c>
      <c r="AB118" s="6">
        <v>1204.17</v>
      </c>
      <c r="AC118" s="3" t="s">
        <v>169</v>
      </c>
      <c r="AD118" s="3" t="s">
        <v>36</v>
      </c>
    </row>
    <row r="119" spans="1:30">
      <c r="A119" s="2">
        <v>46039</v>
      </c>
      <c r="B119" s="3" t="s">
        <v>30</v>
      </c>
      <c r="C119" s="3" t="s">
        <v>31</v>
      </c>
      <c r="D119" s="3" t="s">
        <v>45</v>
      </c>
      <c r="E119" s="3" t="s">
        <v>43</v>
      </c>
      <c r="F119" s="3" t="s">
        <v>40</v>
      </c>
      <c r="G119" s="4">
        <v>76.7</v>
      </c>
      <c r="H119" s="4">
        <v>114.53</v>
      </c>
      <c r="I119" s="4">
        <v>120.43</v>
      </c>
      <c r="J119" s="4">
        <v>7.32</v>
      </c>
      <c r="K119" s="4">
        <v>7.16</v>
      </c>
      <c r="L119" s="4">
        <v>9.6</v>
      </c>
      <c r="M119" s="4">
        <v>15.8</v>
      </c>
      <c r="N119" s="4">
        <v>113.39</v>
      </c>
      <c r="O119" s="4">
        <v>1842.2</v>
      </c>
      <c r="P119" s="5">
        <v>4.9000000000000002E-2</v>
      </c>
      <c r="Q119" s="5">
        <v>0.95099999999999996</v>
      </c>
      <c r="R119" s="5">
        <v>3.1300000000000001E-2</v>
      </c>
      <c r="S119" s="5">
        <v>1.04E-2</v>
      </c>
      <c r="T119" s="5">
        <v>0.90110000000000001</v>
      </c>
      <c r="U119" s="5">
        <v>0.91579999999999995</v>
      </c>
      <c r="V119" s="5">
        <v>1.4933000000000001</v>
      </c>
      <c r="W119" s="4">
        <v>1.01</v>
      </c>
      <c r="X119" s="6">
        <v>93315.79</v>
      </c>
      <c r="Y119" s="6">
        <v>20976.560000000001</v>
      </c>
      <c r="Z119" s="6">
        <v>4316.42</v>
      </c>
      <c r="AA119" s="6">
        <v>122501.39</v>
      </c>
      <c r="AB119" s="6">
        <v>1069.6199999999999</v>
      </c>
      <c r="AC119" s="3" t="s">
        <v>170</v>
      </c>
      <c r="AD119" s="3" t="s">
        <v>36</v>
      </c>
    </row>
    <row r="120" spans="1:30">
      <c r="A120" s="2">
        <v>46040</v>
      </c>
      <c r="B120" s="3" t="s">
        <v>30</v>
      </c>
      <c r="C120" s="3" t="s">
        <v>37</v>
      </c>
      <c r="D120" s="3" t="s">
        <v>38</v>
      </c>
      <c r="E120" s="3" t="s">
        <v>39</v>
      </c>
      <c r="F120" s="3" t="s">
        <v>40</v>
      </c>
      <c r="G120" s="4">
        <v>60</v>
      </c>
      <c r="H120" s="4">
        <v>125.73</v>
      </c>
      <c r="I120" s="4">
        <v>128.91</v>
      </c>
      <c r="J120" s="4">
        <v>8.26</v>
      </c>
      <c r="K120" s="4">
        <v>7.93</v>
      </c>
      <c r="L120" s="4">
        <v>20</v>
      </c>
      <c r="M120" s="4">
        <v>16</v>
      </c>
      <c r="N120" s="4">
        <v>126.77</v>
      </c>
      <c r="O120" s="4">
        <v>2214.3000000000002</v>
      </c>
      <c r="P120" s="5">
        <v>2.47E-2</v>
      </c>
      <c r="Q120" s="5">
        <v>0.97529999999999994</v>
      </c>
      <c r="R120" s="5">
        <v>1.4800000000000001E-2</v>
      </c>
      <c r="S120" s="5">
        <v>3.3E-3</v>
      </c>
      <c r="T120" s="5">
        <v>0.79090000000000005</v>
      </c>
      <c r="U120" s="5">
        <v>0.79420000000000002</v>
      </c>
      <c r="V120" s="5">
        <v>2.0956999999999999</v>
      </c>
      <c r="W120" s="4">
        <v>0.99180000000000001</v>
      </c>
      <c r="X120" s="6">
        <v>103437.83</v>
      </c>
      <c r="Y120" s="6">
        <v>19362.16</v>
      </c>
      <c r="Z120" s="6">
        <v>4584.1000000000004</v>
      </c>
      <c r="AA120" s="6">
        <v>132825.98000000001</v>
      </c>
      <c r="AB120" s="6">
        <v>1056.44</v>
      </c>
      <c r="AC120" s="3" t="s">
        <v>171</v>
      </c>
      <c r="AD120" s="3" t="s">
        <v>36</v>
      </c>
    </row>
    <row r="121" spans="1:30">
      <c r="A121" s="2">
        <v>46041</v>
      </c>
      <c r="B121" s="3" t="s">
        <v>30</v>
      </c>
      <c r="C121" s="3" t="s">
        <v>42</v>
      </c>
      <c r="D121" s="3" t="s">
        <v>45</v>
      </c>
      <c r="E121" s="3" t="s">
        <v>52</v>
      </c>
      <c r="F121" s="3" t="s">
        <v>47</v>
      </c>
      <c r="G121" s="4">
        <v>140.76</v>
      </c>
      <c r="H121" s="4">
        <v>128.74</v>
      </c>
      <c r="I121" s="4">
        <v>135.27000000000001</v>
      </c>
      <c r="J121" s="4">
        <v>7.73</v>
      </c>
      <c r="K121" s="4">
        <v>7.67</v>
      </c>
      <c r="L121" s="4">
        <v>3.6</v>
      </c>
      <c r="M121" s="4">
        <v>15.5</v>
      </c>
      <c r="N121" s="4">
        <v>118.78</v>
      </c>
      <c r="O121" s="4">
        <v>2209.9</v>
      </c>
      <c r="P121" s="5">
        <v>4.82E-2</v>
      </c>
      <c r="Q121" s="5">
        <v>0.95179999999999998</v>
      </c>
      <c r="R121" s="5">
        <v>2.9399999999999999E-2</v>
      </c>
      <c r="S121" s="5">
        <v>1.12E-2</v>
      </c>
      <c r="T121" s="5">
        <v>0.74109999999999998</v>
      </c>
      <c r="U121" s="5">
        <v>0.66500000000000004</v>
      </c>
      <c r="V121" s="5">
        <v>0.91459999999999997</v>
      </c>
      <c r="W121" s="4">
        <v>1.0838000000000001</v>
      </c>
      <c r="X121" s="6">
        <v>94711.31</v>
      </c>
      <c r="Y121" s="6">
        <v>22765.27</v>
      </c>
      <c r="Z121" s="6">
        <v>6162.75</v>
      </c>
      <c r="AA121" s="6">
        <v>128875.63</v>
      </c>
      <c r="AB121" s="6">
        <v>1001.04</v>
      </c>
      <c r="AC121" s="3" t="s">
        <v>172</v>
      </c>
      <c r="AD121" s="3" t="s">
        <v>36</v>
      </c>
    </row>
    <row r="122" spans="1:30">
      <c r="A122" s="2">
        <v>46042</v>
      </c>
      <c r="B122" s="3" t="s">
        <v>30</v>
      </c>
      <c r="C122" s="3" t="s">
        <v>42</v>
      </c>
      <c r="D122" s="3" t="s">
        <v>38</v>
      </c>
      <c r="E122" s="3" t="s">
        <v>46</v>
      </c>
      <c r="F122" s="3" t="s">
        <v>47</v>
      </c>
      <c r="G122" s="4">
        <v>69.319999999999993</v>
      </c>
      <c r="H122" s="4">
        <v>120.18</v>
      </c>
      <c r="I122" s="4">
        <v>124.29</v>
      </c>
      <c r="J122" s="4">
        <v>8.33</v>
      </c>
      <c r="K122" s="4">
        <v>7.98</v>
      </c>
      <c r="L122" s="4">
        <v>21</v>
      </c>
      <c r="M122" s="4">
        <v>14.5</v>
      </c>
      <c r="N122" s="4">
        <v>115.93</v>
      </c>
      <c r="O122" s="4">
        <v>2052.1</v>
      </c>
      <c r="P122" s="5">
        <v>3.3099999999999997E-2</v>
      </c>
      <c r="Q122" s="5">
        <v>0.96689999999999998</v>
      </c>
      <c r="R122" s="5">
        <v>2.92E-2</v>
      </c>
      <c r="S122" s="5">
        <v>1.15E-2</v>
      </c>
      <c r="T122" s="5">
        <v>0.84750000000000003</v>
      </c>
      <c r="U122" s="5">
        <v>0.84279999999999999</v>
      </c>
      <c r="V122" s="5">
        <v>1.7337</v>
      </c>
      <c r="W122" s="4">
        <v>1.0367</v>
      </c>
      <c r="X122" s="6">
        <v>77817.27</v>
      </c>
      <c r="Y122" s="6">
        <v>17108.189999999999</v>
      </c>
      <c r="Z122" s="6">
        <v>5514.9</v>
      </c>
      <c r="AA122" s="6">
        <v>105754.68</v>
      </c>
      <c r="AB122" s="6">
        <v>879.96</v>
      </c>
      <c r="AC122" s="3" t="s">
        <v>173</v>
      </c>
      <c r="AD122" s="3" t="s">
        <v>36</v>
      </c>
    </row>
    <row r="123" spans="1:30">
      <c r="A123" s="2">
        <v>46043</v>
      </c>
      <c r="B123" s="3" t="s">
        <v>30</v>
      </c>
      <c r="C123" s="3" t="s">
        <v>42</v>
      </c>
      <c r="D123" s="3" t="s">
        <v>45</v>
      </c>
      <c r="E123" s="3" t="s">
        <v>62</v>
      </c>
      <c r="F123" s="3" t="s">
        <v>63</v>
      </c>
      <c r="G123" s="4">
        <v>134.07</v>
      </c>
      <c r="H123" s="4">
        <v>111.09</v>
      </c>
      <c r="I123" s="4">
        <v>115.81</v>
      </c>
      <c r="J123" s="4">
        <v>7.84</v>
      </c>
      <c r="K123" s="4">
        <v>7.75</v>
      </c>
      <c r="L123" s="4">
        <v>5.7</v>
      </c>
      <c r="M123" s="4">
        <v>14.1</v>
      </c>
      <c r="N123" s="4">
        <v>109.6</v>
      </c>
      <c r="O123" s="4">
        <v>2000.8</v>
      </c>
      <c r="P123" s="5">
        <v>4.0800000000000003E-2</v>
      </c>
      <c r="Q123" s="5">
        <v>0.95920000000000005</v>
      </c>
      <c r="R123" s="5">
        <v>3.2599999999999997E-2</v>
      </c>
      <c r="S123" s="5">
        <v>8.8000000000000005E-3</v>
      </c>
      <c r="T123" s="5">
        <v>0.78339999999999999</v>
      </c>
      <c r="U123" s="5">
        <v>0.63560000000000005</v>
      </c>
      <c r="V123" s="5">
        <v>0.8286</v>
      </c>
      <c r="W123" s="4">
        <v>1.0136000000000001</v>
      </c>
      <c r="X123" s="6">
        <v>86151.56</v>
      </c>
      <c r="Y123" s="6">
        <v>21276.34</v>
      </c>
      <c r="Z123" s="6">
        <v>4582.6400000000003</v>
      </c>
      <c r="AA123" s="6">
        <v>115108.08</v>
      </c>
      <c r="AB123" s="6">
        <v>1036.18</v>
      </c>
      <c r="AC123" s="3" t="s">
        <v>174</v>
      </c>
      <c r="AD123" s="3" t="s">
        <v>36</v>
      </c>
    </row>
    <row r="124" spans="1:30">
      <c r="A124" s="2">
        <v>46044</v>
      </c>
      <c r="B124" s="3" t="s">
        <v>30</v>
      </c>
      <c r="C124" s="3" t="s">
        <v>31</v>
      </c>
      <c r="D124" s="3" t="s">
        <v>45</v>
      </c>
      <c r="E124" s="3" t="s">
        <v>52</v>
      </c>
      <c r="F124" s="3" t="s">
        <v>47</v>
      </c>
      <c r="G124" s="4">
        <v>93.54</v>
      </c>
      <c r="H124" s="4">
        <v>103.1</v>
      </c>
      <c r="I124" s="4">
        <v>108.55</v>
      </c>
      <c r="J124" s="4">
        <v>8.3699999999999992</v>
      </c>
      <c r="K124" s="4">
        <v>7.71</v>
      </c>
      <c r="L124" s="4">
        <v>40</v>
      </c>
      <c r="M124" s="4">
        <v>17.399999999999999</v>
      </c>
      <c r="N124" s="4">
        <v>134.19999999999999</v>
      </c>
      <c r="O124" s="4">
        <v>2075.6999999999998</v>
      </c>
      <c r="P124" s="5">
        <v>5.0200000000000002E-2</v>
      </c>
      <c r="Q124" s="5">
        <v>0.94979999999999998</v>
      </c>
      <c r="R124" s="5">
        <v>8.8999999999999999E-3</v>
      </c>
      <c r="S124" s="5">
        <v>1.52E-2</v>
      </c>
      <c r="T124" s="5">
        <v>0.82410000000000005</v>
      </c>
      <c r="U124" s="5">
        <v>0.78420000000000001</v>
      </c>
      <c r="V124" s="5">
        <v>1.1022000000000001</v>
      </c>
      <c r="W124" s="4">
        <v>0.76829999999999998</v>
      </c>
      <c r="X124" s="6">
        <v>84998.87</v>
      </c>
      <c r="Y124" s="6">
        <v>22913.13</v>
      </c>
      <c r="Z124" s="6">
        <v>4808.8999999999996</v>
      </c>
      <c r="AA124" s="6">
        <v>115960.34</v>
      </c>
      <c r="AB124" s="6">
        <v>1124.73</v>
      </c>
      <c r="AC124" s="3" t="s">
        <v>175</v>
      </c>
      <c r="AD124" s="3" t="s">
        <v>36</v>
      </c>
    </row>
    <row r="125" spans="1:30">
      <c r="A125" s="2">
        <v>46045</v>
      </c>
      <c r="B125" s="3" t="s">
        <v>30</v>
      </c>
      <c r="C125" s="3" t="s">
        <v>42</v>
      </c>
      <c r="D125" s="3" t="s">
        <v>32</v>
      </c>
      <c r="E125" s="3" t="s">
        <v>52</v>
      </c>
      <c r="F125" s="3" t="s">
        <v>47</v>
      </c>
      <c r="G125" s="4">
        <v>72.02</v>
      </c>
      <c r="H125" s="4">
        <v>118.86</v>
      </c>
      <c r="I125" s="4">
        <v>124.47</v>
      </c>
      <c r="J125" s="4">
        <v>7.39</v>
      </c>
      <c r="K125" s="4">
        <v>7.32</v>
      </c>
      <c r="L125" s="4">
        <v>4.4000000000000004</v>
      </c>
      <c r="M125" s="4">
        <v>15.6</v>
      </c>
      <c r="N125" s="4">
        <v>113.98</v>
      </c>
      <c r="O125" s="4">
        <v>2082.5</v>
      </c>
      <c r="P125" s="5">
        <v>4.4999999999999998E-2</v>
      </c>
      <c r="Q125" s="5">
        <v>0.95499999999999996</v>
      </c>
      <c r="R125" s="5">
        <v>3.2399999999999998E-2</v>
      </c>
      <c r="S125" s="5">
        <v>1.8700000000000001E-2</v>
      </c>
      <c r="T125" s="5">
        <v>0.83450000000000002</v>
      </c>
      <c r="U125" s="5">
        <v>0.85129999999999995</v>
      </c>
      <c r="V125" s="5">
        <v>1.6504000000000001</v>
      </c>
      <c r="W125" s="4">
        <v>1.0427999999999999</v>
      </c>
      <c r="X125" s="6">
        <v>85761.919999999998</v>
      </c>
      <c r="Y125" s="6">
        <v>20468.900000000001</v>
      </c>
      <c r="Z125" s="6">
        <v>4699.33</v>
      </c>
      <c r="AA125" s="6">
        <v>116186.09</v>
      </c>
      <c r="AB125" s="6">
        <v>977.47</v>
      </c>
      <c r="AC125" s="3" t="s">
        <v>176</v>
      </c>
      <c r="AD125" s="3" t="s">
        <v>49</v>
      </c>
    </row>
    <row r="126" spans="1:30">
      <c r="A126" s="2">
        <v>46046</v>
      </c>
      <c r="B126" s="3" t="s">
        <v>30</v>
      </c>
      <c r="C126" s="3" t="s">
        <v>51</v>
      </c>
      <c r="D126" s="3" t="s">
        <v>45</v>
      </c>
      <c r="E126" s="3" t="s">
        <v>46</v>
      </c>
      <c r="F126" s="3" t="s">
        <v>47</v>
      </c>
      <c r="G126" s="4">
        <v>79.180000000000007</v>
      </c>
      <c r="H126" s="4">
        <v>133.13</v>
      </c>
      <c r="I126" s="4">
        <v>138.03</v>
      </c>
      <c r="J126" s="4">
        <v>8.14</v>
      </c>
      <c r="K126" s="4">
        <v>7.93</v>
      </c>
      <c r="L126" s="4">
        <v>12.3</v>
      </c>
      <c r="M126" s="4">
        <v>17.7</v>
      </c>
      <c r="N126" s="4">
        <v>140.01</v>
      </c>
      <c r="O126" s="4">
        <v>2146.1</v>
      </c>
      <c r="P126" s="5">
        <v>3.5499999999999997E-2</v>
      </c>
      <c r="Q126" s="5">
        <v>0.96450000000000002</v>
      </c>
      <c r="R126" s="5">
        <v>3.2000000000000001E-2</v>
      </c>
      <c r="S126" s="5">
        <v>1.54E-2</v>
      </c>
      <c r="T126" s="5">
        <v>0.74250000000000005</v>
      </c>
      <c r="U126" s="5">
        <v>0.74819999999999998</v>
      </c>
      <c r="V126" s="5">
        <v>1.6814</v>
      </c>
      <c r="W126" s="4">
        <v>0.95089999999999997</v>
      </c>
      <c r="X126" s="6">
        <v>114900.88</v>
      </c>
      <c r="Y126" s="6">
        <v>22073.05</v>
      </c>
      <c r="Z126" s="6">
        <v>4292.8</v>
      </c>
      <c r="AA126" s="6">
        <v>146990.66</v>
      </c>
      <c r="AB126" s="6">
        <v>1104.0999999999999</v>
      </c>
      <c r="AC126" s="3" t="s">
        <v>177</v>
      </c>
      <c r="AD126" s="3" t="s">
        <v>56</v>
      </c>
    </row>
    <row r="127" spans="1:30">
      <c r="A127" s="2">
        <v>46047</v>
      </c>
      <c r="B127" s="3" t="s">
        <v>30</v>
      </c>
      <c r="C127" s="3" t="s">
        <v>42</v>
      </c>
      <c r="D127" s="3" t="s">
        <v>38</v>
      </c>
      <c r="E127" s="3" t="s">
        <v>33</v>
      </c>
      <c r="F127" s="3" t="s">
        <v>34</v>
      </c>
      <c r="G127" s="4">
        <v>148.72</v>
      </c>
      <c r="H127" s="4">
        <v>118.03</v>
      </c>
      <c r="I127" s="4">
        <v>122.14</v>
      </c>
      <c r="J127" s="4">
        <v>7.8</v>
      </c>
      <c r="K127" s="4">
        <v>7.6</v>
      </c>
      <c r="L127" s="4">
        <v>11.9</v>
      </c>
      <c r="M127" s="4">
        <v>14.8</v>
      </c>
      <c r="N127" s="4">
        <v>112.36</v>
      </c>
      <c r="O127" s="4">
        <v>2058.9</v>
      </c>
      <c r="P127" s="5">
        <v>3.3700000000000001E-2</v>
      </c>
      <c r="Q127" s="5">
        <v>0.96630000000000005</v>
      </c>
      <c r="R127" s="5">
        <v>3.6499999999999998E-2</v>
      </c>
      <c r="S127" s="5">
        <v>1.44E-2</v>
      </c>
      <c r="T127" s="5">
        <v>0.875</v>
      </c>
      <c r="U127" s="5">
        <v>0.66710000000000003</v>
      </c>
      <c r="V127" s="5">
        <v>0.79369999999999996</v>
      </c>
      <c r="W127" s="4">
        <v>1.0505</v>
      </c>
      <c r="X127" s="6">
        <v>96665.52</v>
      </c>
      <c r="Y127" s="6">
        <v>21342.22</v>
      </c>
      <c r="Z127" s="6">
        <v>5727.21</v>
      </c>
      <c r="AA127" s="6">
        <v>126575.35</v>
      </c>
      <c r="AB127" s="6">
        <v>1072.3699999999999</v>
      </c>
      <c r="AC127" s="3" t="s">
        <v>178</v>
      </c>
      <c r="AD127" s="3" t="s">
        <v>36</v>
      </c>
    </row>
    <row r="128" spans="1:30">
      <c r="A128" s="2">
        <v>46048</v>
      </c>
      <c r="B128" s="3" t="s">
        <v>30</v>
      </c>
      <c r="C128" s="3" t="s">
        <v>31</v>
      </c>
      <c r="D128" s="3" t="s">
        <v>32</v>
      </c>
      <c r="E128" s="3" t="s">
        <v>33</v>
      </c>
      <c r="F128" s="3" t="s">
        <v>34</v>
      </c>
      <c r="G128" s="4">
        <v>122.56</v>
      </c>
      <c r="H128" s="4">
        <v>73.180000000000007</v>
      </c>
      <c r="I128" s="4">
        <v>77.91</v>
      </c>
      <c r="J128" s="4">
        <v>7.45</v>
      </c>
      <c r="K128" s="4">
        <v>7.14</v>
      </c>
      <c r="L128" s="4">
        <v>18.7</v>
      </c>
      <c r="M128" s="4">
        <v>17</v>
      </c>
      <c r="N128" s="4">
        <v>121.73</v>
      </c>
      <c r="O128" s="4">
        <v>1782.7</v>
      </c>
      <c r="P128" s="5">
        <v>6.0699999999999997E-2</v>
      </c>
      <c r="Q128" s="5">
        <v>0.93930000000000002</v>
      </c>
      <c r="R128" s="5">
        <v>8.3000000000000001E-3</v>
      </c>
      <c r="S128" s="5">
        <v>1.66E-2</v>
      </c>
      <c r="T128" s="5">
        <v>0.66779999999999995</v>
      </c>
      <c r="U128" s="5">
        <v>0.37569999999999998</v>
      </c>
      <c r="V128" s="5">
        <v>0.59709999999999996</v>
      </c>
      <c r="W128" s="4">
        <v>0.60109999999999997</v>
      </c>
      <c r="X128" s="6">
        <v>58595.09</v>
      </c>
      <c r="Y128" s="6">
        <v>23430.98</v>
      </c>
      <c r="Z128" s="6">
        <v>4093.42</v>
      </c>
      <c r="AA128" s="6">
        <v>93026.25</v>
      </c>
      <c r="AB128" s="6">
        <v>1271.24</v>
      </c>
      <c r="AC128" s="3" t="s">
        <v>179</v>
      </c>
      <c r="AD128" s="3" t="s">
        <v>49</v>
      </c>
    </row>
    <row r="129" spans="1:30">
      <c r="A129" s="2">
        <v>46049</v>
      </c>
      <c r="B129" s="3" t="s">
        <v>30</v>
      </c>
      <c r="C129" s="3" t="s">
        <v>31</v>
      </c>
      <c r="D129" s="3" t="s">
        <v>38</v>
      </c>
      <c r="E129" s="3" t="s">
        <v>33</v>
      </c>
      <c r="F129" s="3" t="s">
        <v>34</v>
      </c>
      <c r="G129" s="4">
        <v>56.72</v>
      </c>
      <c r="H129" s="4">
        <v>118.21</v>
      </c>
      <c r="I129" s="4">
        <v>124.62</v>
      </c>
      <c r="J129" s="4">
        <v>8.33</v>
      </c>
      <c r="K129" s="4">
        <v>8.24</v>
      </c>
      <c r="L129" s="4">
        <v>5.5</v>
      </c>
      <c r="M129" s="4">
        <v>15.3</v>
      </c>
      <c r="N129" s="4">
        <v>126.12</v>
      </c>
      <c r="O129" s="4">
        <v>2008.7</v>
      </c>
      <c r="P129" s="5">
        <v>5.1400000000000001E-2</v>
      </c>
      <c r="Q129" s="5">
        <v>0.9486</v>
      </c>
      <c r="R129" s="5">
        <v>4.7100000000000003E-2</v>
      </c>
      <c r="S129" s="5">
        <v>1.6E-2</v>
      </c>
      <c r="T129" s="5">
        <v>0.95899999999999996</v>
      </c>
      <c r="U129" s="5">
        <v>0.98</v>
      </c>
      <c r="V129" s="5">
        <v>2.0840000000000001</v>
      </c>
      <c r="W129" s="4">
        <v>0.93720000000000003</v>
      </c>
      <c r="X129" s="6">
        <v>83279.38</v>
      </c>
      <c r="Y129" s="6">
        <v>21639.119999999999</v>
      </c>
      <c r="Z129" s="6">
        <v>4684.6000000000004</v>
      </c>
      <c r="AA129" s="6">
        <v>113849.92</v>
      </c>
      <c r="AB129" s="6">
        <v>963.15</v>
      </c>
      <c r="AC129" s="3" t="s">
        <v>180</v>
      </c>
      <c r="AD129" s="3" t="s">
        <v>36</v>
      </c>
    </row>
    <row r="130" spans="1:30">
      <c r="A130" s="2">
        <v>46050</v>
      </c>
      <c r="B130" s="3" t="s">
        <v>30</v>
      </c>
      <c r="C130" s="3" t="s">
        <v>42</v>
      </c>
      <c r="D130" s="3" t="s">
        <v>32</v>
      </c>
      <c r="E130" s="3" t="s">
        <v>43</v>
      </c>
      <c r="F130" s="3" t="s">
        <v>40</v>
      </c>
      <c r="G130" s="4">
        <v>146.59</v>
      </c>
      <c r="H130" s="4">
        <v>120.7</v>
      </c>
      <c r="I130" s="4">
        <v>125.92</v>
      </c>
      <c r="J130" s="4">
        <v>7.46</v>
      </c>
      <c r="K130" s="4">
        <v>7.05</v>
      </c>
      <c r="L130" s="4">
        <v>24.8</v>
      </c>
      <c r="M130" s="4">
        <v>14.6</v>
      </c>
      <c r="N130" s="4">
        <v>103.24</v>
      </c>
      <c r="O130" s="4">
        <v>2208.5</v>
      </c>
      <c r="P130" s="5">
        <v>4.1500000000000002E-2</v>
      </c>
      <c r="Q130" s="5">
        <v>0.95850000000000002</v>
      </c>
      <c r="R130" s="5">
        <v>1.7100000000000001E-2</v>
      </c>
      <c r="S130" s="5">
        <v>1.1299999999999999E-2</v>
      </c>
      <c r="T130" s="5">
        <v>0.98</v>
      </c>
      <c r="U130" s="5">
        <v>0.75370000000000004</v>
      </c>
      <c r="V130" s="5">
        <v>0.82340000000000002</v>
      </c>
      <c r="W130" s="4">
        <v>1.1692</v>
      </c>
      <c r="X130" s="6">
        <v>107610.28</v>
      </c>
      <c r="Y130" s="6">
        <v>16922.68</v>
      </c>
      <c r="Z130" s="6">
        <v>5891.71</v>
      </c>
      <c r="AA130" s="6">
        <v>133880.51</v>
      </c>
      <c r="AB130" s="6">
        <v>1109.17</v>
      </c>
      <c r="AC130" s="3" t="s">
        <v>181</v>
      </c>
      <c r="AD130" s="3" t="s">
        <v>59</v>
      </c>
    </row>
    <row r="131" spans="1:30">
      <c r="A131" s="2">
        <v>46051</v>
      </c>
      <c r="B131" s="3" t="s">
        <v>30</v>
      </c>
      <c r="C131" s="3" t="s">
        <v>42</v>
      </c>
      <c r="D131" s="3" t="s">
        <v>45</v>
      </c>
      <c r="E131" s="3" t="s">
        <v>39</v>
      </c>
      <c r="F131" s="3" t="s">
        <v>40</v>
      </c>
      <c r="G131" s="4">
        <v>135.16</v>
      </c>
      <c r="H131" s="4">
        <v>118.63</v>
      </c>
      <c r="I131" s="4">
        <v>125.68</v>
      </c>
      <c r="J131" s="4">
        <v>7.85</v>
      </c>
      <c r="K131" s="4">
        <v>7.74</v>
      </c>
      <c r="L131" s="4">
        <v>7</v>
      </c>
      <c r="M131" s="4">
        <v>15.7</v>
      </c>
      <c r="N131" s="4">
        <v>121.63</v>
      </c>
      <c r="O131" s="4">
        <v>1996.5</v>
      </c>
      <c r="P131" s="5">
        <v>5.6099999999999997E-2</v>
      </c>
      <c r="Q131" s="5">
        <v>0.94389999999999996</v>
      </c>
      <c r="R131" s="5">
        <v>2.3800000000000002E-2</v>
      </c>
      <c r="S131" s="5">
        <v>3.8999999999999998E-3</v>
      </c>
      <c r="T131" s="5">
        <v>0.80210000000000004</v>
      </c>
      <c r="U131" s="5">
        <v>0.69079999999999997</v>
      </c>
      <c r="V131" s="5">
        <v>0.87770000000000004</v>
      </c>
      <c r="W131" s="4">
        <v>0.97529999999999994</v>
      </c>
      <c r="X131" s="6">
        <v>86130.87</v>
      </c>
      <c r="Y131" s="6">
        <v>23423.38</v>
      </c>
      <c r="Z131" s="6">
        <v>4419.5200000000004</v>
      </c>
      <c r="AA131" s="6">
        <v>117122.2</v>
      </c>
      <c r="AB131" s="6">
        <v>987.26</v>
      </c>
      <c r="AC131" s="3" t="s">
        <v>182</v>
      </c>
      <c r="AD131" s="3" t="s">
        <v>36</v>
      </c>
    </row>
    <row r="132" spans="1:30">
      <c r="A132" s="2">
        <v>46052</v>
      </c>
      <c r="B132" s="3" t="s">
        <v>30</v>
      </c>
      <c r="C132" s="3" t="s">
        <v>51</v>
      </c>
      <c r="D132" s="3" t="s">
        <v>32</v>
      </c>
      <c r="E132" s="3" t="s">
        <v>43</v>
      </c>
      <c r="F132" s="3" t="s">
        <v>40</v>
      </c>
      <c r="G132" s="4">
        <v>141.35</v>
      </c>
      <c r="H132" s="4">
        <v>158.04</v>
      </c>
      <c r="I132" s="4">
        <v>159.96</v>
      </c>
      <c r="J132" s="4">
        <v>7.54</v>
      </c>
      <c r="K132" s="4">
        <v>7.49</v>
      </c>
      <c r="L132" s="4">
        <v>2.9</v>
      </c>
      <c r="M132" s="4">
        <v>18.899999999999999</v>
      </c>
      <c r="N132" s="4">
        <v>141.81</v>
      </c>
      <c r="O132" s="4">
        <v>2370.6</v>
      </c>
      <c r="P132" s="5">
        <v>1.2E-2</v>
      </c>
      <c r="Q132" s="5">
        <v>0.98799999999999999</v>
      </c>
      <c r="R132" s="5">
        <v>1.3100000000000001E-2</v>
      </c>
      <c r="S132" s="5">
        <v>1.61E-2</v>
      </c>
      <c r="T132" s="5">
        <v>0.90980000000000005</v>
      </c>
      <c r="U132" s="5">
        <v>0.93389999999999995</v>
      </c>
      <c r="V132" s="5">
        <v>1.1181000000000001</v>
      </c>
      <c r="W132" s="4">
        <v>1.1144000000000001</v>
      </c>
      <c r="X132" s="6">
        <v>129447.15</v>
      </c>
      <c r="Y132" s="6">
        <v>24951.87</v>
      </c>
      <c r="Z132" s="6">
        <v>5587.97</v>
      </c>
      <c r="AA132" s="6">
        <v>166129.07999999999</v>
      </c>
      <c r="AB132" s="6">
        <v>1051.19</v>
      </c>
      <c r="AC132" s="3" t="s">
        <v>183</v>
      </c>
      <c r="AD132" s="3" t="s">
        <v>36</v>
      </c>
    </row>
    <row r="133" spans="1:30">
      <c r="A133" s="2">
        <v>46053</v>
      </c>
      <c r="B133" s="3" t="s">
        <v>30</v>
      </c>
      <c r="C133" s="3" t="s">
        <v>51</v>
      </c>
      <c r="D133" s="3" t="s">
        <v>38</v>
      </c>
      <c r="E133" s="3" t="s">
        <v>62</v>
      </c>
      <c r="F133" s="3" t="s">
        <v>63</v>
      </c>
      <c r="G133" s="4">
        <v>76.09</v>
      </c>
      <c r="H133" s="4">
        <v>121.27</v>
      </c>
      <c r="I133" s="4">
        <v>125.85</v>
      </c>
      <c r="J133" s="4">
        <v>7.22</v>
      </c>
      <c r="K133" s="4">
        <v>7.03</v>
      </c>
      <c r="L133" s="4">
        <v>11.6</v>
      </c>
      <c r="M133" s="4">
        <v>24</v>
      </c>
      <c r="N133" s="4">
        <v>168.67</v>
      </c>
      <c r="O133" s="4">
        <v>2256</v>
      </c>
      <c r="P133" s="5">
        <v>3.6400000000000002E-2</v>
      </c>
      <c r="Q133" s="5">
        <v>0.96360000000000001</v>
      </c>
      <c r="R133" s="5">
        <v>0.03</v>
      </c>
      <c r="S133" s="5">
        <v>7.7000000000000002E-3</v>
      </c>
      <c r="T133" s="5">
        <v>0.72889999999999999</v>
      </c>
      <c r="U133" s="5">
        <v>0.73909999999999998</v>
      </c>
      <c r="V133" s="5">
        <v>1.5938000000000001</v>
      </c>
      <c r="W133" s="4">
        <v>0.71899999999999997</v>
      </c>
      <c r="X133" s="6">
        <v>80155.850000000006</v>
      </c>
      <c r="Y133" s="6">
        <v>29354.63</v>
      </c>
      <c r="Z133" s="6">
        <v>5926.52</v>
      </c>
      <c r="AA133" s="6">
        <v>118943.8</v>
      </c>
      <c r="AB133" s="6">
        <v>980.79</v>
      </c>
      <c r="AC133" s="3" t="s">
        <v>184</v>
      </c>
      <c r="AD133" s="3" t="s">
        <v>36</v>
      </c>
    </row>
    <row r="134" spans="1:30">
      <c r="A134" s="2">
        <v>46054</v>
      </c>
      <c r="B134" s="3" t="s">
        <v>30</v>
      </c>
      <c r="C134" s="3" t="s">
        <v>51</v>
      </c>
      <c r="D134" s="3" t="s">
        <v>45</v>
      </c>
      <c r="E134" s="3" t="s">
        <v>52</v>
      </c>
      <c r="F134" s="3" t="s">
        <v>47</v>
      </c>
      <c r="G134" s="4">
        <v>87</v>
      </c>
      <c r="H134" s="4">
        <v>130.25</v>
      </c>
      <c r="I134" s="4">
        <v>135.91</v>
      </c>
      <c r="J134" s="4">
        <v>8.01</v>
      </c>
      <c r="K134" s="4">
        <v>7.86</v>
      </c>
      <c r="L134" s="4">
        <v>8.8000000000000007</v>
      </c>
      <c r="M134" s="4">
        <v>17.5</v>
      </c>
      <c r="N134" s="4">
        <v>137.22999999999999</v>
      </c>
      <c r="O134" s="4">
        <v>2046.1</v>
      </c>
      <c r="P134" s="5">
        <v>4.1599999999999998E-2</v>
      </c>
      <c r="Q134" s="5">
        <v>0.95840000000000003</v>
      </c>
      <c r="R134" s="5">
        <v>1.89E-2</v>
      </c>
      <c r="S134" s="5">
        <v>1.1599999999999999E-2</v>
      </c>
      <c r="T134" s="5">
        <v>0.8609</v>
      </c>
      <c r="U134" s="5">
        <v>0.87709999999999999</v>
      </c>
      <c r="V134" s="5">
        <v>1.4971000000000001</v>
      </c>
      <c r="W134" s="4">
        <v>0.94920000000000004</v>
      </c>
      <c r="X134" s="6">
        <v>87436.34</v>
      </c>
      <c r="Y134" s="6">
        <v>26647.74</v>
      </c>
      <c r="Z134" s="6">
        <v>4919.16</v>
      </c>
      <c r="AA134" s="6">
        <v>123214.58</v>
      </c>
      <c r="AB134" s="6">
        <v>945.96</v>
      </c>
      <c r="AC134" s="3" t="s">
        <v>185</v>
      </c>
      <c r="AD134" s="3" t="s">
        <v>36</v>
      </c>
    </row>
    <row r="135" spans="1:30">
      <c r="A135" s="2">
        <v>46055</v>
      </c>
      <c r="B135" s="3" t="s">
        <v>30</v>
      </c>
      <c r="C135" s="3" t="s">
        <v>37</v>
      </c>
      <c r="D135" s="3" t="s">
        <v>45</v>
      </c>
      <c r="E135" s="3" t="s">
        <v>33</v>
      </c>
      <c r="F135" s="3" t="s">
        <v>34</v>
      </c>
      <c r="G135" s="4">
        <v>124.89</v>
      </c>
      <c r="H135" s="4">
        <v>74.22</v>
      </c>
      <c r="I135" s="4">
        <v>76.38</v>
      </c>
      <c r="J135" s="4">
        <v>7.83</v>
      </c>
      <c r="K135" s="4">
        <v>7.61</v>
      </c>
      <c r="L135" s="4">
        <v>13.6</v>
      </c>
      <c r="M135" s="4">
        <v>15.3</v>
      </c>
      <c r="N135" s="4">
        <v>116.2</v>
      </c>
      <c r="O135" s="4">
        <v>1569.2</v>
      </c>
      <c r="P135" s="5">
        <v>2.8199999999999999E-2</v>
      </c>
      <c r="Q135" s="5">
        <v>0.9718</v>
      </c>
      <c r="R135" s="5">
        <v>2.8199999999999999E-2</v>
      </c>
      <c r="S135" s="5">
        <v>1.06E-2</v>
      </c>
      <c r="T135" s="5">
        <v>0.8427</v>
      </c>
      <c r="U135" s="5">
        <v>0.48110000000000003</v>
      </c>
      <c r="V135" s="5">
        <v>0.59430000000000005</v>
      </c>
      <c r="W135" s="4">
        <v>0.63880000000000003</v>
      </c>
      <c r="X135" s="6">
        <v>53034.84</v>
      </c>
      <c r="Y135" s="6">
        <v>21626.42</v>
      </c>
      <c r="Z135" s="6">
        <v>4321.29</v>
      </c>
      <c r="AA135" s="6">
        <v>83212.240000000005</v>
      </c>
      <c r="AB135" s="6">
        <v>1121.1300000000001</v>
      </c>
      <c r="AC135" s="3" t="s">
        <v>186</v>
      </c>
      <c r="AD135" s="3" t="s">
        <v>36</v>
      </c>
    </row>
    <row r="136" spans="1:30">
      <c r="A136" s="2">
        <v>46056</v>
      </c>
      <c r="B136" s="3" t="s">
        <v>30</v>
      </c>
      <c r="C136" s="3" t="s">
        <v>42</v>
      </c>
      <c r="D136" s="3" t="s">
        <v>45</v>
      </c>
      <c r="E136" s="3" t="s">
        <v>52</v>
      </c>
      <c r="F136" s="3" t="s">
        <v>47</v>
      </c>
      <c r="G136" s="4">
        <v>118.15</v>
      </c>
      <c r="H136" s="4">
        <v>122.64</v>
      </c>
      <c r="I136" s="4">
        <v>127.27</v>
      </c>
      <c r="J136" s="4">
        <v>8.35</v>
      </c>
      <c r="K136" s="4">
        <v>8.15</v>
      </c>
      <c r="L136" s="4">
        <v>12.1</v>
      </c>
      <c r="M136" s="4">
        <v>16</v>
      </c>
      <c r="N136" s="4">
        <v>130.62</v>
      </c>
      <c r="O136" s="4">
        <v>1975.2</v>
      </c>
      <c r="P136" s="5">
        <v>3.6299999999999999E-2</v>
      </c>
      <c r="Q136" s="5">
        <v>0.9637</v>
      </c>
      <c r="R136" s="5">
        <v>1.5900000000000001E-2</v>
      </c>
      <c r="S136" s="5">
        <v>1.7899999999999999E-2</v>
      </c>
      <c r="T136" s="5">
        <v>0.81310000000000004</v>
      </c>
      <c r="U136" s="5">
        <v>0.80889999999999995</v>
      </c>
      <c r="V136" s="5">
        <v>1.038</v>
      </c>
      <c r="W136" s="4">
        <v>0.93889999999999996</v>
      </c>
      <c r="X136" s="6">
        <v>88181.85</v>
      </c>
      <c r="Y136" s="6">
        <v>20320.32</v>
      </c>
      <c r="Z136" s="6">
        <v>4780.6499999999996</v>
      </c>
      <c r="AA136" s="6">
        <v>118968.48</v>
      </c>
      <c r="AB136" s="6">
        <v>970.02</v>
      </c>
      <c r="AC136" s="3" t="s">
        <v>187</v>
      </c>
      <c r="AD136" s="3" t="s">
        <v>56</v>
      </c>
    </row>
    <row r="137" spans="1:30">
      <c r="A137" s="2">
        <v>46057</v>
      </c>
      <c r="B137" s="3" t="s">
        <v>30</v>
      </c>
      <c r="C137" s="3" t="s">
        <v>31</v>
      </c>
      <c r="D137" s="3" t="s">
        <v>32</v>
      </c>
      <c r="E137" s="3" t="s">
        <v>62</v>
      </c>
      <c r="F137" s="3" t="s">
        <v>63</v>
      </c>
      <c r="G137" s="4">
        <v>137.81</v>
      </c>
      <c r="H137" s="4">
        <v>157</v>
      </c>
      <c r="I137" s="4">
        <v>169.72</v>
      </c>
      <c r="J137" s="4">
        <v>8.27</v>
      </c>
      <c r="K137" s="4">
        <v>7.8</v>
      </c>
      <c r="L137" s="4">
        <v>28</v>
      </c>
      <c r="M137" s="4">
        <v>16.899999999999999</v>
      </c>
      <c r="N137" s="4">
        <v>132.19999999999999</v>
      </c>
      <c r="O137" s="4">
        <v>2398.8000000000002</v>
      </c>
      <c r="P137" s="5">
        <v>7.4899999999999994E-2</v>
      </c>
      <c r="Q137" s="5">
        <v>0.92510000000000003</v>
      </c>
      <c r="R137" s="5">
        <v>2.3E-2</v>
      </c>
      <c r="S137" s="5">
        <v>2.2100000000000002E-2</v>
      </c>
      <c r="T137" s="5">
        <v>0.85770000000000002</v>
      </c>
      <c r="U137" s="5">
        <v>0.83109999999999995</v>
      </c>
      <c r="V137" s="5">
        <v>1.1392</v>
      </c>
      <c r="W137" s="4">
        <v>1.1876</v>
      </c>
      <c r="X137" s="6">
        <v>108755.88</v>
      </c>
      <c r="Y137" s="6">
        <v>19596.57</v>
      </c>
      <c r="Z137" s="6">
        <v>6159.25</v>
      </c>
      <c r="AA137" s="6">
        <v>137441.15</v>
      </c>
      <c r="AB137" s="6">
        <v>875.41</v>
      </c>
      <c r="AC137" s="3" t="s">
        <v>188</v>
      </c>
      <c r="AD137" s="3" t="s">
        <v>36</v>
      </c>
    </row>
    <row r="138" spans="1:30">
      <c r="A138" s="2">
        <v>46058</v>
      </c>
      <c r="B138" s="3" t="s">
        <v>30</v>
      </c>
      <c r="C138" s="3" t="s">
        <v>31</v>
      </c>
      <c r="D138" s="3" t="s">
        <v>32</v>
      </c>
      <c r="E138" s="3" t="s">
        <v>43</v>
      </c>
      <c r="F138" s="3" t="s">
        <v>40</v>
      </c>
      <c r="G138" s="4">
        <v>109.95</v>
      </c>
      <c r="H138" s="4">
        <v>114.36</v>
      </c>
      <c r="I138" s="4">
        <v>122.76</v>
      </c>
      <c r="J138" s="4">
        <v>7.68</v>
      </c>
      <c r="K138" s="4">
        <v>7.39</v>
      </c>
      <c r="L138" s="4">
        <v>17.100000000000001</v>
      </c>
      <c r="M138" s="4">
        <v>13.6</v>
      </c>
      <c r="N138" s="4">
        <v>100.81</v>
      </c>
      <c r="O138" s="4">
        <v>2040.5</v>
      </c>
      <c r="P138" s="5">
        <v>6.8400000000000002E-2</v>
      </c>
      <c r="Q138" s="5">
        <v>0.93159999999999998</v>
      </c>
      <c r="R138" s="5">
        <v>1.52E-2</v>
      </c>
      <c r="S138" s="5">
        <v>9.7999999999999997E-3</v>
      </c>
      <c r="T138" s="5">
        <v>0.88329999999999997</v>
      </c>
      <c r="U138" s="5">
        <v>0.87590000000000001</v>
      </c>
      <c r="V138" s="5">
        <v>1.0401</v>
      </c>
      <c r="W138" s="4">
        <v>1.1345000000000001</v>
      </c>
      <c r="X138" s="6">
        <v>83894.03</v>
      </c>
      <c r="Y138" s="6">
        <v>15742.15</v>
      </c>
      <c r="Z138" s="6">
        <v>4300.17</v>
      </c>
      <c r="AA138" s="6">
        <v>110360.69</v>
      </c>
      <c r="AB138" s="6">
        <v>965.01</v>
      </c>
      <c r="AC138" s="3" t="s">
        <v>189</v>
      </c>
      <c r="AD138" s="3" t="s">
        <v>36</v>
      </c>
    </row>
    <row r="139" spans="1:30">
      <c r="A139" s="2">
        <v>46059</v>
      </c>
      <c r="B139" s="3" t="s">
        <v>30</v>
      </c>
      <c r="C139" s="3" t="s">
        <v>31</v>
      </c>
      <c r="D139" s="3" t="s">
        <v>32</v>
      </c>
      <c r="E139" s="3" t="s">
        <v>52</v>
      </c>
      <c r="F139" s="3" t="s">
        <v>47</v>
      </c>
      <c r="G139" s="4">
        <v>129.68</v>
      </c>
      <c r="H139" s="4">
        <v>115.34</v>
      </c>
      <c r="I139" s="4">
        <v>123.23</v>
      </c>
      <c r="J139" s="4">
        <v>7.35</v>
      </c>
      <c r="K139" s="4">
        <v>7.04</v>
      </c>
      <c r="L139" s="4">
        <v>18.3</v>
      </c>
      <c r="M139" s="4">
        <v>17.3</v>
      </c>
      <c r="N139" s="4">
        <v>122.07</v>
      </c>
      <c r="O139" s="4">
        <v>2085.1999999999998</v>
      </c>
      <c r="P139" s="5">
        <v>6.4000000000000001E-2</v>
      </c>
      <c r="Q139" s="5">
        <v>0.93600000000000005</v>
      </c>
      <c r="R139" s="5">
        <v>2.1100000000000001E-2</v>
      </c>
      <c r="S139" s="5">
        <v>1.14E-2</v>
      </c>
      <c r="T139" s="5">
        <v>0.84499999999999997</v>
      </c>
      <c r="U139" s="5">
        <v>0.71220000000000006</v>
      </c>
      <c r="V139" s="5">
        <v>0.88949999999999996</v>
      </c>
      <c r="W139" s="4">
        <v>0.94489999999999996</v>
      </c>
      <c r="X139" s="6">
        <v>76713.42</v>
      </c>
      <c r="Y139" s="6">
        <v>22659.3</v>
      </c>
      <c r="Z139" s="6">
        <v>5592.75</v>
      </c>
      <c r="AA139" s="6">
        <v>107521.12</v>
      </c>
      <c r="AB139" s="6">
        <v>932.19</v>
      </c>
      <c r="AC139" s="3" t="s">
        <v>190</v>
      </c>
      <c r="AD139" s="3" t="s">
        <v>56</v>
      </c>
    </row>
    <row r="140" spans="1:30">
      <c r="A140" s="2">
        <v>46060</v>
      </c>
      <c r="B140" s="3" t="s">
        <v>30</v>
      </c>
      <c r="C140" s="3" t="s">
        <v>31</v>
      </c>
      <c r="D140" s="3" t="s">
        <v>32</v>
      </c>
      <c r="E140" s="3" t="s">
        <v>33</v>
      </c>
      <c r="F140" s="3" t="s">
        <v>34</v>
      </c>
      <c r="G140" s="4">
        <v>140.99</v>
      </c>
      <c r="H140" s="4">
        <v>89.94</v>
      </c>
      <c r="I140" s="4">
        <v>96</v>
      </c>
      <c r="J140" s="4">
        <v>7.27</v>
      </c>
      <c r="K140" s="4">
        <v>7.18</v>
      </c>
      <c r="L140" s="4">
        <v>4.9000000000000004</v>
      </c>
      <c r="M140" s="4">
        <v>15.5</v>
      </c>
      <c r="N140" s="4">
        <v>111.02</v>
      </c>
      <c r="O140" s="4">
        <v>1589.9</v>
      </c>
      <c r="P140" s="5">
        <v>6.3100000000000003E-2</v>
      </c>
      <c r="Q140" s="5">
        <v>0.93689999999999996</v>
      </c>
      <c r="R140" s="5">
        <v>2.9000000000000001E-2</v>
      </c>
      <c r="S140" s="5">
        <v>1.26E-2</v>
      </c>
      <c r="T140" s="5">
        <v>0.66449999999999998</v>
      </c>
      <c r="U140" s="5">
        <v>0.41389999999999999</v>
      </c>
      <c r="V140" s="5">
        <v>0.63790000000000002</v>
      </c>
      <c r="W140" s="4">
        <v>0.81010000000000004</v>
      </c>
      <c r="X140" s="6">
        <v>80692.72</v>
      </c>
      <c r="Y140" s="6">
        <v>18075.919999999998</v>
      </c>
      <c r="Z140" s="6">
        <v>3399.09</v>
      </c>
      <c r="AA140" s="6">
        <v>107341.67</v>
      </c>
      <c r="AB140" s="6">
        <v>1193.46</v>
      </c>
      <c r="AC140" s="3" t="s">
        <v>191</v>
      </c>
      <c r="AD140" s="3" t="s">
        <v>59</v>
      </c>
    </row>
    <row r="141" spans="1:30">
      <c r="A141" s="2">
        <v>46061</v>
      </c>
      <c r="B141" s="3" t="s">
        <v>30</v>
      </c>
      <c r="C141" s="3" t="s">
        <v>31</v>
      </c>
      <c r="D141" s="3" t="s">
        <v>32</v>
      </c>
      <c r="E141" s="3" t="s">
        <v>62</v>
      </c>
      <c r="F141" s="3" t="s">
        <v>63</v>
      </c>
      <c r="G141" s="4">
        <v>135.83000000000001</v>
      </c>
      <c r="H141" s="4">
        <v>123.8</v>
      </c>
      <c r="I141" s="4">
        <v>135.04</v>
      </c>
      <c r="J141" s="4">
        <v>7.81</v>
      </c>
      <c r="K141" s="4">
        <v>7.77</v>
      </c>
      <c r="L141" s="4">
        <v>2.5</v>
      </c>
      <c r="M141" s="4">
        <v>19.8</v>
      </c>
      <c r="N141" s="4">
        <v>154.05000000000001</v>
      </c>
      <c r="O141" s="4">
        <v>2208.1999999999998</v>
      </c>
      <c r="P141" s="5">
        <v>8.3199999999999996E-2</v>
      </c>
      <c r="Q141" s="5">
        <v>0.91679999999999995</v>
      </c>
      <c r="R141" s="5">
        <v>2.4899999999999999E-2</v>
      </c>
      <c r="S141" s="5">
        <v>5.0000000000000001E-3</v>
      </c>
      <c r="T141" s="5">
        <v>0.88649999999999995</v>
      </c>
      <c r="U141" s="5">
        <v>0.79969999999999997</v>
      </c>
      <c r="V141" s="5">
        <v>0.91139999999999999</v>
      </c>
      <c r="W141" s="4">
        <v>0.80359999999999998</v>
      </c>
      <c r="X141" s="6">
        <v>113257.51</v>
      </c>
      <c r="Y141" s="6">
        <v>24820.11</v>
      </c>
      <c r="Z141" s="6">
        <v>4417.9399999999996</v>
      </c>
      <c r="AA141" s="6">
        <v>148579.47</v>
      </c>
      <c r="AB141" s="6">
        <v>1200.1300000000001</v>
      </c>
      <c r="AC141" s="3" t="s">
        <v>192</v>
      </c>
      <c r="AD141" s="3" t="s">
        <v>75</v>
      </c>
    </row>
    <row r="142" spans="1:30">
      <c r="A142" s="2">
        <v>46062</v>
      </c>
      <c r="B142" s="3" t="s">
        <v>30</v>
      </c>
      <c r="C142" s="3" t="s">
        <v>42</v>
      </c>
      <c r="D142" s="3" t="s">
        <v>38</v>
      </c>
      <c r="E142" s="3" t="s">
        <v>46</v>
      </c>
      <c r="F142" s="3" t="s">
        <v>47</v>
      </c>
      <c r="G142" s="4">
        <v>86.95</v>
      </c>
      <c r="H142" s="4">
        <v>104.3</v>
      </c>
      <c r="I142" s="4">
        <v>110.85</v>
      </c>
      <c r="J142" s="4">
        <v>8.01</v>
      </c>
      <c r="K142" s="4">
        <v>7.8</v>
      </c>
      <c r="L142" s="4">
        <v>12.6</v>
      </c>
      <c r="M142" s="4">
        <v>19.5</v>
      </c>
      <c r="N142" s="4">
        <v>152.5</v>
      </c>
      <c r="O142" s="4">
        <v>1938.2</v>
      </c>
      <c r="P142" s="5">
        <v>5.91E-2</v>
      </c>
      <c r="Q142" s="5">
        <v>0.94089999999999996</v>
      </c>
      <c r="R142" s="5">
        <v>4.6100000000000002E-2</v>
      </c>
      <c r="S142" s="5">
        <v>1.95E-2</v>
      </c>
      <c r="T142" s="5">
        <v>0.56579999999999997</v>
      </c>
      <c r="U142" s="5">
        <v>0.56720000000000004</v>
      </c>
      <c r="V142" s="5">
        <v>1.1995</v>
      </c>
      <c r="W142" s="4">
        <v>0.68389999999999995</v>
      </c>
      <c r="X142" s="6">
        <v>95013.57</v>
      </c>
      <c r="Y142" s="6">
        <v>28739.94</v>
      </c>
      <c r="Z142" s="6">
        <v>4788.6099999999997</v>
      </c>
      <c r="AA142" s="6">
        <v>134953.79999999999</v>
      </c>
      <c r="AB142" s="6">
        <v>1293.9000000000001</v>
      </c>
      <c r="AC142" s="3" t="s">
        <v>193</v>
      </c>
      <c r="AD142" s="3" t="s">
        <v>36</v>
      </c>
    </row>
    <row r="143" spans="1:30">
      <c r="A143" s="2">
        <v>46063</v>
      </c>
      <c r="B143" s="3" t="s">
        <v>30</v>
      </c>
      <c r="C143" s="3" t="s">
        <v>31</v>
      </c>
      <c r="D143" s="3" t="s">
        <v>38</v>
      </c>
      <c r="E143" s="3" t="s">
        <v>52</v>
      </c>
      <c r="F143" s="3" t="s">
        <v>47</v>
      </c>
      <c r="G143" s="4">
        <v>127.96</v>
      </c>
      <c r="H143" s="4">
        <v>112.28</v>
      </c>
      <c r="I143" s="4">
        <v>120.18</v>
      </c>
      <c r="J143" s="4">
        <v>8.0299999999999994</v>
      </c>
      <c r="K143" s="4">
        <v>7.82</v>
      </c>
      <c r="L143" s="4">
        <v>12.9</v>
      </c>
      <c r="M143" s="4">
        <v>15</v>
      </c>
      <c r="N143" s="4">
        <v>116.95</v>
      </c>
      <c r="O143" s="4">
        <v>2013.5</v>
      </c>
      <c r="P143" s="5">
        <v>6.5799999999999997E-2</v>
      </c>
      <c r="Q143" s="5">
        <v>0.93420000000000003</v>
      </c>
      <c r="R143" s="5">
        <v>2.1299999999999999E-2</v>
      </c>
      <c r="S143" s="5">
        <v>1.7299999999999999E-2</v>
      </c>
      <c r="T143" s="5">
        <v>0.76419999999999999</v>
      </c>
      <c r="U143" s="5">
        <v>0.64129999999999998</v>
      </c>
      <c r="V143" s="5">
        <v>0.87739999999999996</v>
      </c>
      <c r="W143" s="4">
        <v>0.96</v>
      </c>
      <c r="X143" s="6">
        <v>102926.27</v>
      </c>
      <c r="Y143" s="6">
        <v>18324.919999999998</v>
      </c>
      <c r="Z143" s="6">
        <v>4699.83</v>
      </c>
      <c r="AA143" s="6">
        <v>129997.75999999999</v>
      </c>
      <c r="AB143" s="6">
        <v>1157.8499999999999</v>
      </c>
      <c r="AC143" s="3" t="s">
        <v>194</v>
      </c>
      <c r="AD143" s="3" t="s">
        <v>49</v>
      </c>
    </row>
    <row r="144" spans="1:30">
      <c r="A144" s="2">
        <v>46064</v>
      </c>
      <c r="B144" s="3" t="s">
        <v>30</v>
      </c>
      <c r="C144" s="3" t="s">
        <v>51</v>
      </c>
      <c r="D144" s="3" t="s">
        <v>32</v>
      </c>
      <c r="E144" s="3" t="s">
        <v>43</v>
      </c>
      <c r="F144" s="3" t="s">
        <v>40</v>
      </c>
      <c r="G144" s="4">
        <v>106.9</v>
      </c>
      <c r="H144" s="4">
        <v>126.75</v>
      </c>
      <c r="I144" s="4">
        <v>130.32</v>
      </c>
      <c r="J144" s="4">
        <v>8.02</v>
      </c>
      <c r="K144" s="4">
        <v>7.74</v>
      </c>
      <c r="L144" s="4">
        <v>16.399999999999999</v>
      </c>
      <c r="M144" s="4">
        <v>22.8</v>
      </c>
      <c r="N144" s="4">
        <v>176.59</v>
      </c>
      <c r="O144" s="4">
        <v>2167.4</v>
      </c>
      <c r="P144" s="5">
        <v>2.7400000000000001E-2</v>
      </c>
      <c r="Q144" s="5">
        <v>0.97260000000000002</v>
      </c>
      <c r="R144" s="5">
        <v>2.6100000000000002E-2</v>
      </c>
      <c r="S144" s="5">
        <v>7.7000000000000002E-3</v>
      </c>
      <c r="T144" s="5">
        <v>0.8276</v>
      </c>
      <c r="U144" s="5">
        <v>0.83279999999999998</v>
      </c>
      <c r="V144" s="5">
        <v>1.1857</v>
      </c>
      <c r="W144" s="4">
        <v>0.71779999999999999</v>
      </c>
      <c r="X144" s="6">
        <v>104664.99</v>
      </c>
      <c r="Y144" s="6">
        <v>30802.75</v>
      </c>
      <c r="Z144" s="6">
        <v>5420.3</v>
      </c>
      <c r="AA144" s="6">
        <v>143424</v>
      </c>
      <c r="AB144" s="6">
        <v>1131.54</v>
      </c>
      <c r="AC144" s="3" t="s">
        <v>195</v>
      </c>
      <c r="AD144" s="3" t="s">
        <v>36</v>
      </c>
    </row>
    <row r="145" spans="1:30">
      <c r="A145" s="2">
        <v>46065</v>
      </c>
      <c r="B145" s="3" t="s">
        <v>30</v>
      </c>
      <c r="C145" s="3" t="s">
        <v>37</v>
      </c>
      <c r="D145" s="3" t="s">
        <v>32</v>
      </c>
      <c r="E145" s="3" t="s">
        <v>52</v>
      </c>
      <c r="F145" s="3" t="s">
        <v>47</v>
      </c>
      <c r="G145" s="4">
        <v>65.77</v>
      </c>
      <c r="H145" s="4">
        <v>98.9</v>
      </c>
      <c r="I145" s="4">
        <v>104.15</v>
      </c>
      <c r="J145" s="4">
        <v>7.9</v>
      </c>
      <c r="K145" s="4">
        <v>7.44</v>
      </c>
      <c r="L145" s="4">
        <v>27.6</v>
      </c>
      <c r="M145" s="4">
        <v>15.3</v>
      </c>
      <c r="N145" s="4">
        <v>113.57</v>
      </c>
      <c r="O145" s="4">
        <v>1835.2</v>
      </c>
      <c r="P145" s="5">
        <v>5.0500000000000003E-2</v>
      </c>
      <c r="Q145" s="5">
        <v>0.94950000000000001</v>
      </c>
      <c r="R145" s="5">
        <v>3.0800000000000001E-2</v>
      </c>
      <c r="S145" s="5">
        <v>2.29E-2</v>
      </c>
      <c r="T145" s="5">
        <v>0.93889999999999996</v>
      </c>
      <c r="U145" s="5">
        <v>0.90720000000000001</v>
      </c>
      <c r="V145" s="5">
        <v>1.5038</v>
      </c>
      <c r="W145" s="4">
        <v>0.87080000000000002</v>
      </c>
      <c r="X145" s="6">
        <v>79415.75</v>
      </c>
      <c r="Y145" s="6">
        <v>18628.419999999998</v>
      </c>
      <c r="Z145" s="6">
        <v>5097.16</v>
      </c>
      <c r="AA145" s="6">
        <v>107265.33</v>
      </c>
      <c r="AB145" s="6">
        <v>1084.5999999999999</v>
      </c>
      <c r="AC145" s="3" t="s">
        <v>196</v>
      </c>
      <c r="AD145" s="3" t="s">
        <v>36</v>
      </c>
    </row>
    <row r="146" spans="1:30">
      <c r="A146" s="2">
        <v>46066</v>
      </c>
      <c r="B146" s="3" t="s">
        <v>30</v>
      </c>
      <c r="C146" s="3" t="s">
        <v>31</v>
      </c>
      <c r="D146" s="3" t="s">
        <v>38</v>
      </c>
      <c r="E146" s="3" t="s">
        <v>52</v>
      </c>
      <c r="F146" s="3" t="s">
        <v>47</v>
      </c>
      <c r="G146" s="4">
        <v>139.72</v>
      </c>
      <c r="H146" s="4">
        <v>109.51</v>
      </c>
      <c r="I146" s="4">
        <v>112.33</v>
      </c>
      <c r="J146" s="4">
        <v>7.33</v>
      </c>
      <c r="K146" s="4">
        <v>7.08</v>
      </c>
      <c r="L146" s="4">
        <v>15.1</v>
      </c>
      <c r="M146" s="4">
        <v>16.3</v>
      </c>
      <c r="N146" s="4">
        <v>115.35</v>
      </c>
      <c r="O146" s="4">
        <v>1948.4</v>
      </c>
      <c r="P146" s="5">
        <v>2.5100000000000001E-2</v>
      </c>
      <c r="Q146" s="5">
        <v>0.97489999999999999</v>
      </c>
      <c r="R146" s="5">
        <v>3.4099999999999998E-2</v>
      </c>
      <c r="S146" s="5">
        <v>1.29E-2</v>
      </c>
      <c r="T146" s="5">
        <v>0.88039999999999996</v>
      </c>
      <c r="U146" s="5">
        <v>0.65780000000000005</v>
      </c>
      <c r="V146" s="5">
        <v>0.78380000000000005</v>
      </c>
      <c r="W146" s="4">
        <v>0.94930000000000003</v>
      </c>
      <c r="X146" s="6">
        <v>82039.83</v>
      </c>
      <c r="Y146" s="6">
        <v>20398.330000000002</v>
      </c>
      <c r="Z146" s="6">
        <v>4896.42</v>
      </c>
      <c r="AA146" s="6">
        <v>111720.86</v>
      </c>
      <c r="AB146" s="6">
        <v>1020.2</v>
      </c>
      <c r="AC146" s="3" t="s">
        <v>197</v>
      </c>
      <c r="AD146" s="3" t="s">
        <v>36</v>
      </c>
    </row>
    <row r="147" spans="1:30">
      <c r="A147" s="2">
        <v>46067</v>
      </c>
      <c r="B147" s="3" t="s">
        <v>30</v>
      </c>
      <c r="C147" s="3" t="s">
        <v>31</v>
      </c>
      <c r="D147" s="3" t="s">
        <v>32</v>
      </c>
      <c r="E147" s="3" t="s">
        <v>43</v>
      </c>
      <c r="F147" s="3" t="s">
        <v>40</v>
      </c>
      <c r="G147" s="4">
        <v>130.12</v>
      </c>
      <c r="H147" s="4">
        <v>102.71</v>
      </c>
      <c r="I147" s="4">
        <v>109.55</v>
      </c>
      <c r="J147" s="4">
        <v>8.35</v>
      </c>
      <c r="K147" s="4">
        <v>7.79</v>
      </c>
      <c r="L147" s="4">
        <v>33.799999999999997</v>
      </c>
      <c r="M147" s="4">
        <v>19.7</v>
      </c>
      <c r="N147" s="4">
        <v>153.66</v>
      </c>
      <c r="O147" s="4">
        <v>1905.8</v>
      </c>
      <c r="P147" s="5">
        <v>6.25E-2</v>
      </c>
      <c r="Q147" s="5">
        <v>0.9375</v>
      </c>
      <c r="R147" s="5">
        <v>3.6400000000000002E-2</v>
      </c>
      <c r="S147" s="5">
        <v>1.8200000000000001E-2</v>
      </c>
      <c r="T147" s="5">
        <v>0.69889999999999997</v>
      </c>
      <c r="U147" s="5">
        <v>0.505</v>
      </c>
      <c r="V147" s="5">
        <v>0.7893</v>
      </c>
      <c r="W147" s="4">
        <v>0.66839999999999999</v>
      </c>
      <c r="X147" s="6">
        <v>77923.73</v>
      </c>
      <c r="Y147" s="6">
        <v>23178.959999999999</v>
      </c>
      <c r="Z147" s="6">
        <v>3880.01</v>
      </c>
      <c r="AA147" s="6">
        <v>109485</v>
      </c>
      <c r="AB147" s="6">
        <v>1066</v>
      </c>
      <c r="AC147" s="3" t="s">
        <v>198</v>
      </c>
      <c r="AD147" s="3" t="s">
        <v>36</v>
      </c>
    </row>
    <row r="148" spans="1:30">
      <c r="A148" s="2">
        <v>46068</v>
      </c>
      <c r="B148" s="3" t="s">
        <v>30</v>
      </c>
      <c r="C148" s="3" t="s">
        <v>31</v>
      </c>
      <c r="D148" s="3" t="s">
        <v>38</v>
      </c>
      <c r="E148" s="3" t="s">
        <v>43</v>
      </c>
      <c r="F148" s="3" t="s">
        <v>40</v>
      </c>
      <c r="G148" s="4">
        <v>67.91</v>
      </c>
      <c r="H148" s="4">
        <v>126.23</v>
      </c>
      <c r="I148" s="4">
        <v>132.84</v>
      </c>
      <c r="J148" s="4">
        <v>7.99</v>
      </c>
      <c r="K148" s="4">
        <v>7.75</v>
      </c>
      <c r="L148" s="4">
        <v>14.4</v>
      </c>
      <c r="M148" s="4">
        <v>17.899999999999999</v>
      </c>
      <c r="N148" s="4">
        <v>138.46</v>
      </c>
      <c r="O148" s="4">
        <v>2289.4</v>
      </c>
      <c r="P148" s="5">
        <v>4.9799999999999997E-2</v>
      </c>
      <c r="Q148" s="5">
        <v>0.95020000000000004</v>
      </c>
      <c r="R148" s="5">
        <v>2.9600000000000001E-2</v>
      </c>
      <c r="S148" s="5">
        <v>1.2800000000000001E-2</v>
      </c>
      <c r="T148" s="5">
        <v>0.84289999999999998</v>
      </c>
      <c r="U148" s="5">
        <v>0.84740000000000004</v>
      </c>
      <c r="V148" s="5">
        <v>1.8588</v>
      </c>
      <c r="W148" s="4">
        <v>0.91169999999999995</v>
      </c>
      <c r="X148" s="6">
        <v>102040.58</v>
      </c>
      <c r="Y148" s="6">
        <v>20133.7</v>
      </c>
      <c r="Z148" s="6">
        <v>4660.3500000000004</v>
      </c>
      <c r="AA148" s="6">
        <v>130641.15</v>
      </c>
      <c r="AB148" s="6">
        <v>1034.95</v>
      </c>
      <c r="AC148" s="3" t="s">
        <v>199</v>
      </c>
      <c r="AD148" s="3" t="s">
        <v>49</v>
      </c>
    </row>
    <row r="149" spans="1:30">
      <c r="A149" s="2">
        <v>46069</v>
      </c>
      <c r="B149" s="3" t="s">
        <v>30</v>
      </c>
      <c r="C149" s="3" t="s">
        <v>37</v>
      </c>
      <c r="D149" s="3" t="s">
        <v>32</v>
      </c>
      <c r="E149" s="3" t="s">
        <v>43</v>
      </c>
      <c r="F149" s="3" t="s">
        <v>40</v>
      </c>
      <c r="G149" s="4">
        <v>126.2</v>
      </c>
      <c r="H149" s="4">
        <v>120.28</v>
      </c>
      <c r="I149" s="4">
        <v>122.67</v>
      </c>
      <c r="J149" s="4">
        <v>7.89</v>
      </c>
      <c r="K149" s="4">
        <v>7.69</v>
      </c>
      <c r="L149" s="4">
        <v>11.7</v>
      </c>
      <c r="M149" s="4">
        <v>15.4</v>
      </c>
      <c r="N149" s="4">
        <v>118.36</v>
      </c>
      <c r="O149" s="4">
        <v>2362.9</v>
      </c>
      <c r="P149" s="5">
        <v>1.95E-2</v>
      </c>
      <c r="Q149" s="5">
        <v>0.98050000000000004</v>
      </c>
      <c r="R149" s="5">
        <v>1.0200000000000001E-2</v>
      </c>
      <c r="S149" s="5">
        <v>2.35E-2</v>
      </c>
      <c r="T149" s="5">
        <v>0.89059999999999995</v>
      </c>
      <c r="U149" s="5">
        <v>0.80840000000000001</v>
      </c>
      <c r="V149" s="5">
        <v>0.95299999999999996</v>
      </c>
      <c r="W149" s="4">
        <v>1.0162</v>
      </c>
      <c r="X149" s="6">
        <v>96618.53</v>
      </c>
      <c r="Y149" s="6">
        <v>18436.14</v>
      </c>
      <c r="Z149" s="6">
        <v>5466.1</v>
      </c>
      <c r="AA149" s="6">
        <v>126892.96</v>
      </c>
      <c r="AB149" s="6">
        <v>1055.02</v>
      </c>
      <c r="AC149" s="3" t="s">
        <v>200</v>
      </c>
      <c r="AD149" s="3" t="s">
        <v>49</v>
      </c>
    </row>
    <row r="150" spans="1:30">
      <c r="A150" s="2">
        <v>46070</v>
      </c>
      <c r="B150" s="3" t="s">
        <v>30</v>
      </c>
      <c r="C150" s="3" t="s">
        <v>31</v>
      </c>
      <c r="D150" s="3" t="s">
        <v>32</v>
      </c>
      <c r="E150" s="3" t="s">
        <v>62</v>
      </c>
      <c r="F150" s="3" t="s">
        <v>63</v>
      </c>
      <c r="G150" s="4">
        <v>94.5</v>
      </c>
      <c r="H150" s="4">
        <v>116.38</v>
      </c>
      <c r="I150" s="4">
        <v>126.61</v>
      </c>
      <c r="J150" s="4">
        <v>7.54</v>
      </c>
      <c r="K150" s="4">
        <v>7.41</v>
      </c>
      <c r="L150" s="4">
        <v>7.7</v>
      </c>
      <c r="M150" s="4">
        <v>18.399999999999999</v>
      </c>
      <c r="N150" s="4">
        <v>136.05000000000001</v>
      </c>
      <c r="O150" s="4">
        <v>2048.6</v>
      </c>
      <c r="P150" s="5">
        <v>8.0799999999999997E-2</v>
      </c>
      <c r="Q150" s="5">
        <v>0.91920000000000002</v>
      </c>
      <c r="R150" s="5">
        <v>3.1399999999999997E-2</v>
      </c>
      <c r="S150" s="5">
        <v>2.6800000000000001E-2</v>
      </c>
      <c r="T150" s="5">
        <v>0.81930000000000003</v>
      </c>
      <c r="U150" s="5">
        <v>0.82299999999999995</v>
      </c>
      <c r="V150" s="5">
        <v>1.2315</v>
      </c>
      <c r="W150" s="4">
        <v>0.85540000000000005</v>
      </c>
      <c r="X150" s="6">
        <v>94675.04</v>
      </c>
      <c r="Y150" s="6">
        <v>26292.34</v>
      </c>
      <c r="Z150" s="6">
        <v>5105.2700000000004</v>
      </c>
      <c r="AA150" s="6">
        <v>130364</v>
      </c>
      <c r="AB150" s="6">
        <v>1120.2</v>
      </c>
      <c r="AC150" s="3" t="s">
        <v>201</v>
      </c>
      <c r="AD150" s="3" t="s">
        <v>36</v>
      </c>
    </row>
    <row r="151" spans="1:30">
      <c r="A151" s="2">
        <v>46071</v>
      </c>
      <c r="B151" s="3" t="s">
        <v>30</v>
      </c>
      <c r="C151" s="3" t="s">
        <v>42</v>
      </c>
      <c r="D151" s="3" t="s">
        <v>32</v>
      </c>
      <c r="E151" s="3" t="s">
        <v>39</v>
      </c>
      <c r="F151" s="3" t="s">
        <v>40</v>
      </c>
      <c r="G151" s="4">
        <v>94.57</v>
      </c>
      <c r="H151" s="4">
        <v>130.9</v>
      </c>
      <c r="I151" s="4">
        <v>137.36000000000001</v>
      </c>
      <c r="J151" s="4">
        <v>7.74</v>
      </c>
      <c r="K151" s="4">
        <v>7.41</v>
      </c>
      <c r="L151" s="4">
        <v>19.600000000000001</v>
      </c>
      <c r="M151" s="4">
        <v>18.2</v>
      </c>
      <c r="N151" s="4">
        <v>134.99</v>
      </c>
      <c r="O151" s="4">
        <v>2219.1</v>
      </c>
      <c r="P151" s="5">
        <v>4.7E-2</v>
      </c>
      <c r="Q151" s="5">
        <v>0.95299999999999996</v>
      </c>
      <c r="R151" s="5">
        <v>1.3599999999999999E-2</v>
      </c>
      <c r="S151" s="5">
        <v>1.1299999999999999E-2</v>
      </c>
      <c r="T151" s="5">
        <v>0.90469999999999995</v>
      </c>
      <c r="U151" s="5">
        <v>0.89949999999999997</v>
      </c>
      <c r="V151" s="5">
        <v>1.3841000000000001</v>
      </c>
      <c r="W151" s="4">
        <v>0.96970000000000001</v>
      </c>
      <c r="X151" s="6">
        <v>112205.04</v>
      </c>
      <c r="Y151" s="6">
        <v>25291.35</v>
      </c>
      <c r="Z151" s="6">
        <v>5732.19</v>
      </c>
      <c r="AA151" s="6">
        <v>146610.72</v>
      </c>
      <c r="AB151" s="6">
        <v>1120.02</v>
      </c>
      <c r="AC151" s="3" t="s">
        <v>202</v>
      </c>
      <c r="AD151" s="3" t="s">
        <v>36</v>
      </c>
    </row>
    <row r="152" spans="1:30">
      <c r="A152" s="2">
        <v>46072</v>
      </c>
      <c r="B152" s="3" t="s">
        <v>30</v>
      </c>
      <c r="C152" s="3" t="s">
        <v>42</v>
      </c>
      <c r="D152" s="3" t="s">
        <v>45</v>
      </c>
      <c r="E152" s="3" t="s">
        <v>33</v>
      </c>
      <c r="F152" s="3" t="s">
        <v>34</v>
      </c>
      <c r="G152" s="4">
        <v>55.94</v>
      </c>
      <c r="H152" s="4">
        <v>93.86</v>
      </c>
      <c r="I152" s="4">
        <v>96.89</v>
      </c>
      <c r="J152" s="4">
        <v>7.79</v>
      </c>
      <c r="K152" s="4">
        <v>7.4</v>
      </c>
      <c r="L152" s="4">
        <v>23.3</v>
      </c>
      <c r="M152" s="4">
        <v>13.7</v>
      </c>
      <c r="N152" s="4">
        <v>101.09</v>
      </c>
      <c r="O152" s="4">
        <v>1953.5</v>
      </c>
      <c r="P152" s="5">
        <v>3.1199999999999999E-2</v>
      </c>
      <c r="Q152" s="5">
        <v>0.96879999999999999</v>
      </c>
      <c r="R152" s="5">
        <v>8.8999999999999999E-3</v>
      </c>
      <c r="S152" s="5">
        <v>1.2500000000000001E-2</v>
      </c>
      <c r="T152" s="5">
        <v>0.74809999999999999</v>
      </c>
      <c r="U152" s="5">
        <v>0.73709999999999998</v>
      </c>
      <c r="V152" s="5">
        <v>1.6779999999999999</v>
      </c>
      <c r="W152" s="4">
        <v>0.92849999999999999</v>
      </c>
      <c r="X152" s="6">
        <v>63780.87</v>
      </c>
      <c r="Y152" s="6">
        <v>19682.29</v>
      </c>
      <c r="Z152" s="6">
        <v>4177.07</v>
      </c>
      <c r="AA152" s="6">
        <v>90708.47</v>
      </c>
      <c r="AB152" s="6">
        <v>966.38</v>
      </c>
      <c r="AC152" s="3" t="s">
        <v>203</v>
      </c>
      <c r="AD152" s="3" t="s">
        <v>36</v>
      </c>
    </row>
    <row r="153" spans="1:30">
      <c r="A153" s="2">
        <v>46073</v>
      </c>
      <c r="B153" s="3" t="s">
        <v>30</v>
      </c>
      <c r="C153" s="3" t="s">
        <v>37</v>
      </c>
      <c r="D153" s="3" t="s">
        <v>32</v>
      </c>
      <c r="E153" s="3" t="s">
        <v>62</v>
      </c>
      <c r="F153" s="3" t="s">
        <v>63</v>
      </c>
      <c r="G153" s="4">
        <v>140.11000000000001</v>
      </c>
      <c r="H153" s="4">
        <v>129.35</v>
      </c>
      <c r="I153" s="4">
        <v>137.41</v>
      </c>
      <c r="J153" s="4">
        <v>7.33</v>
      </c>
      <c r="K153" s="4">
        <v>6.83</v>
      </c>
      <c r="L153" s="4">
        <v>30.4</v>
      </c>
      <c r="M153" s="4">
        <v>18.8</v>
      </c>
      <c r="N153" s="4">
        <v>128.47</v>
      </c>
      <c r="O153" s="4">
        <v>2132.4</v>
      </c>
      <c r="P153" s="5">
        <v>5.8599999999999999E-2</v>
      </c>
      <c r="Q153" s="5">
        <v>0.94140000000000001</v>
      </c>
      <c r="R153" s="5">
        <v>1.41E-2</v>
      </c>
      <c r="S153" s="5">
        <v>1.0500000000000001E-2</v>
      </c>
      <c r="T153" s="5">
        <v>0.94169999999999998</v>
      </c>
      <c r="U153" s="5">
        <v>0.80079999999999996</v>
      </c>
      <c r="V153" s="5">
        <v>0.92320000000000002</v>
      </c>
      <c r="W153" s="4">
        <v>1.0068999999999999</v>
      </c>
      <c r="X153" s="6">
        <v>110049.57</v>
      </c>
      <c r="Y153" s="6">
        <v>21715.24</v>
      </c>
      <c r="Z153" s="6">
        <v>5129.4399999999996</v>
      </c>
      <c r="AA153" s="6">
        <v>142794.07</v>
      </c>
      <c r="AB153" s="6">
        <v>1103.9100000000001</v>
      </c>
      <c r="AC153" s="3" t="s">
        <v>204</v>
      </c>
      <c r="AD153" s="3" t="s">
        <v>36</v>
      </c>
    </row>
    <row r="154" spans="1:30">
      <c r="A154" s="2">
        <v>46074</v>
      </c>
      <c r="B154" s="3" t="s">
        <v>30</v>
      </c>
      <c r="C154" s="3" t="s">
        <v>37</v>
      </c>
      <c r="D154" s="3" t="s">
        <v>32</v>
      </c>
      <c r="E154" s="3" t="s">
        <v>52</v>
      </c>
      <c r="F154" s="3" t="s">
        <v>47</v>
      </c>
      <c r="G154" s="4">
        <v>117.8</v>
      </c>
      <c r="H154" s="4">
        <v>134.24</v>
      </c>
      <c r="I154" s="4">
        <v>142.65</v>
      </c>
      <c r="J154" s="4">
        <v>8.1999999999999993</v>
      </c>
      <c r="K154" s="4">
        <v>8.14</v>
      </c>
      <c r="L154" s="4">
        <v>3.3</v>
      </c>
      <c r="M154" s="4">
        <v>16.399999999999999</v>
      </c>
      <c r="N154" s="4">
        <v>133.83000000000001</v>
      </c>
      <c r="O154" s="4">
        <v>2176.6</v>
      </c>
      <c r="P154" s="5">
        <v>5.8900000000000001E-2</v>
      </c>
      <c r="Q154" s="5">
        <v>0.94110000000000005</v>
      </c>
      <c r="R154" s="5">
        <v>1.4800000000000001E-2</v>
      </c>
      <c r="S154" s="5">
        <v>2.1000000000000001E-2</v>
      </c>
      <c r="T154" s="5">
        <v>0.77569999999999995</v>
      </c>
      <c r="U154" s="5">
        <v>0.79200000000000004</v>
      </c>
      <c r="V154" s="5">
        <v>1.1395999999999999</v>
      </c>
      <c r="W154" s="4">
        <v>1.0031000000000001</v>
      </c>
      <c r="X154" s="6">
        <v>90759.87</v>
      </c>
      <c r="Y154" s="6">
        <v>24757.57</v>
      </c>
      <c r="Z154" s="6">
        <v>5436.04</v>
      </c>
      <c r="AA154" s="6">
        <v>127712.24</v>
      </c>
      <c r="AB154" s="6">
        <v>951.34</v>
      </c>
      <c r="AC154" s="3" t="s">
        <v>205</v>
      </c>
      <c r="AD154" s="3" t="s">
        <v>36</v>
      </c>
    </row>
    <row r="155" spans="1:30">
      <c r="A155" s="2">
        <v>46075</v>
      </c>
      <c r="B155" s="3" t="s">
        <v>30</v>
      </c>
      <c r="C155" s="3" t="s">
        <v>37</v>
      </c>
      <c r="D155" s="3" t="s">
        <v>45</v>
      </c>
      <c r="E155" s="3" t="s">
        <v>43</v>
      </c>
      <c r="F155" s="3" t="s">
        <v>40</v>
      </c>
      <c r="G155" s="4">
        <v>71.040000000000006</v>
      </c>
      <c r="H155" s="4">
        <v>133.59</v>
      </c>
      <c r="I155" s="4">
        <v>137.5</v>
      </c>
      <c r="J155" s="4">
        <v>7.39</v>
      </c>
      <c r="K155" s="4">
        <v>7.04</v>
      </c>
      <c r="L155" s="4">
        <v>21</v>
      </c>
      <c r="M155" s="4">
        <v>14.8</v>
      </c>
      <c r="N155" s="4">
        <v>104.4</v>
      </c>
      <c r="O155" s="4">
        <v>2147.1</v>
      </c>
      <c r="P155" s="5">
        <v>2.8400000000000002E-2</v>
      </c>
      <c r="Q155" s="5">
        <v>0.97160000000000002</v>
      </c>
      <c r="R155" s="5">
        <v>3.1899999999999998E-2</v>
      </c>
      <c r="S155" s="5">
        <v>6.1999999999999998E-3</v>
      </c>
      <c r="T155" s="5">
        <v>0.86240000000000006</v>
      </c>
      <c r="U155" s="5">
        <v>0.85719999999999996</v>
      </c>
      <c r="V155" s="5">
        <v>1.8803000000000001</v>
      </c>
      <c r="W155" s="4">
        <v>1.2796000000000001</v>
      </c>
      <c r="X155" s="6">
        <v>111704.23</v>
      </c>
      <c r="Y155" s="6">
        <v>17272.22</v>
      </c>
      <c r="Z155" s="6">
        <v>5699.64</v>
      </c>
      <c r="AA155" s="6">
        <v>137649.69</v>
      </c>
      <c r="AB155" s="6">
        <v>1030.42</v>
      </c>
      <c r="AC155" s="3" t="s">
        <v>206</v>
      </c>
      <c r="AD155" s="3" t="s">
        <v>36</v>
      </c>
    </row>
    <row r="156" spans="1:30">
      <c r="A156" s="2">
        <v>46076</v>
      </c>
      <c r="B156" s="3" t="s">
        <v>30</v>
      </c>
      <c r="C156" s="3" t="s">
        <v>37</v>
      </c>
      <c r="D156" s="3" t="s">
        <v>38</v>
      </c>
      <c r="E156" s="3" t="s">
        <v>46</v>
      </c>
      <c r="F156" s="3" t="s">
        <v>47</v>
      </c>
      <c r="G156" s="4">
        <v>104.42</v>
      </c>
      <c r="H156" s="4">
        <v>132.76</v>
      </c>
      <c r="I156" s="4">
        <v>137.87</v>
      </c>
      <c r="J156" s="4">
        <v>7.7</v>
      </c>
      <c r="K156" s="4">
        <v>7.26</v>
      </c>
      <c r="L156" s="4">
        <v>26</v>
      </c>
      <c r="M156" s="4">
        <v>13.1</v>
      </c>
      <c r="N156" s="4">
        <v>95.45</v>
      </c>
      <c r="O156" s="4">
        <v>2263</v>
      </c>
      <c r="P156" s="5">
        <v>3.6999999999999998E-2</v>
      </c>
      <c r="Q156" s="5">
        <v>0.96299999999999997</v>
      </c>
      <c r="R156" s="5">
        <v>3.1E-2</v>
      </c>
      <c r="S156" s="5">
        <v>1.3299999999999999E-2</v>
      </c>
      <c r="T156" s="5">
        <v>0.9042</v>
      </c>
      <c r="U156" s="5">
        <v>0.88390000000000002</v>
      </c>
      <c r="V156" s="5">
        <v>1.2714000000000001</v>
      </c>
      <c r="W156" s="4">
        <v>1.391</v>
      </c>
      <c r="X156" s="6">
        <v>100718.56</v>
      </c>
      <c r="Y156" s="6">
        <v>14068.88</v>
      </c>
      <c r="Z156" s="6">
        <v>5399.25</v>
      </c>
      <c r="AA156" s="6">
        <v>126186.48</v>
      </c>
      <c r="AB156" s="6">
        <v>950.45</v>
      </c>
      <c r="AC156" s="3" t="s">
        <v>207</v>
      </c>
      <c r="AD156" s="3" t="s">
        <v>36</v>
      </c>
    </row>
    <row r="157" spans="1:30">
      <c r="A157" s="2">
        <v>46077</v>
      </c>
      <c r="B157" s="3" t="s">
        <v>30</v>
      </c>
      <c r="C157" s="3" t="s">
        <v>42</v>
      </c>
      <c r="D157" s="3" t="s">
        <v>45</v>
      </c>
      <c r="E157" s="3" t="s">
        <v>43</v>
      </c>
      <c r="F157" s="3" t="s">
        <v>40</v>
      </c>
      <c r="G157" s="4">
        <v>77.55</v>
      </c>
      <c r="H157" s="4">
        <v>127.3</v>
      </c>
      <c r="I157" s="4">
        <v>134.33000000000001</v>
      </c>
      <c r="J157" s="4">
        <v>8.01</v>
      </c>
      <c r="K157" s="4">
        <v>7.77</v>
      </c>
      <c r="L157" s="4">
        <v>13.9</v>
      </c>
      <c r="M157" s="4">
        <v>20.2</v>
      </c>
      <c r="N157" s="4">
        <v>157.16999999999999</v>
      </c>
      <c r="O157" s="4">
        <v>2091.4</v>
      </c>
      <c r="P157" s="5">
        <v>5.2400000000000002E-2</v>
      </c>
      <c r="Q157" s="5">
        <v>0.9476</v>
      </c>
      <c r="R157" s="5">
        <v>1.7299999999999999E-2</v>
      </c>
      <c r="S157" s="5">
        <v>1.44E-2</v>
      </c>
      <c r="T157" s="5">
        <v>0.88739999999999997</v>
      </c>
      <c r="U157" s="5">
        <v>0.89180000000000004</v>
      </c>
      <c r="V157" s="5">
        <v>1.6415999999999999</v>
      </c>
      <c r="W157" s="4">
        <v>0.81</v>
      </c>
      <c r="X157" s="6">
        <v>106040.43</v>
      </c>
      <c r="Y157" s="6">
        <v>25675.25</v>
      </c>
      <c r="Z157" s="6">
        <v>4579.42</v>
      </c>
      <c r="AA157" s="6">
        <v>141817.95000000001</v>
      </c>
      <c r="AB157" s="6">
        <v>1114.04</v>
      </c>
      <c r="AC157" s="3" t="s">
        <v>208</v>
      </c>
      <c r="AD157" s="3" t="s">
        <v>36</v>
      </c>
    </row>
    <row r="158" spans="1:30">
      <c r="A158" s="2">
        <v>46078</v>
      </c>
      <c r="B158" s="3" t="s">
        <v>30</v>
      </c>
      <c r="C158" s="3" t="s">
        <v>37</v>
      </c>
      <c r="D158" s="3" t="s">
        <v>45</v>
      </c>
      <c r="E158" s="3" t="s">
        <v>52</v>
      </c>
      <c r="F158" s="3" t="s">
        <v>47</v>
      </c>
      <c r="G158" s="4">
        <v>144.4</v>
      </c>
      <c r="H158" s="4">
        <v>101.89</v>
      </c>
      <c r="I158" s="4">
        <v>104.61</v>
      </c>
      <c r="J158" s="4">
        <v>7.64</v>
      </c>
      <c r="K158" s="4">
        <v>7.23</v>
      </c>
      <c r="L158" s="4">
        <v>24.4</v>
      </c>
      <c r="M158" s="4">
        <v>16.100000000000001</v>
      </c>
      <c r="N158" s="4">
        <v>116.61</v>
      </c>
      <c r="O158" s="4">
        <v>1941.3</v>
      </c>
      <c r="P158" s="5">
        <v>2.5999999999999999E-2</v>
      </c>
      <c r="Q158" s="5">
        <v>0.97399999999999998</v>
      </c>
      <c r="R158" s="5">
        <v>2.8799999999999999E-2</v>
      </c>
      <c r="S158" s="5">
        <v>1.8599999999999998E-2</v>
      </c>
      <c r="T158" s="5">
        <v>0.7319</v>
      </c>
      <c r="U158" s="5">
        <v>0.4798</v>
      </c>
      <c r="V158" s="5">
        <v>0.7056</v>
      </c>
      <c r="W158" s="4">
        <v>0.87380000000000002</v>
      </c>
      <c r="X158" s="6">
        <v>90676.05</v>
      </c>
      <c r="Y158" s="6">
        <v>17972.849999999999</v>
      </c>
      <c r="Z158" s="6">
        <v>4317.71</v>
      </c>
      <c r="AA158" s="6">
        <v>116543.18</v>
      </c>
      <c r="AB158" s="6">
        <v>1143.8</v>
      </c>
      <c r="AC158" s="3" t="s">
        <v>209</v>
      </c>
      <c r="AD158" s="3" t="s">
        <v>36</v>
      </c>
    </row>
    <row r="159" spans="1:30">
      <c r="A159" s="2">
        <v>46079</v>
      </c>
      <c r="B159" s="3" t="s">
        <v>30</v>
      </c>
      <c r="C159" s="3" t="s">
        <v>51</v>
      </c>
      <c r="D159" s="3" t="s">
        <v>32</v>
      </c>
      <c r="E159" s="3" t="s">
        <v>39</v>
      </c>
      <c r="F159" s="3" t="s">
        <v>40</v>
      </c>
      <c r="G159" s="4">
        <v>71.09</v>
      </c>
      <c r="H159" s="4">
        <v>139.77000000000001</v>
      </c>
      <c r="I159" s="4">
        <v>142.77000000000001</v>
      </c>
      <c r="J159" s="4">
        <v>8.4700000000000006</v>
      </c>
      <c r="K159" s="4">
        <v>8.18</v>
      </c>
      <c r="L159" s="4">
        <v>17.2</v>
      </c>
      <c r="M159" s="4">
        <v>18.2</v>
      </c>
      <c r="N159" s="4">
        <v>148.65</v>
      </c>
      <c r="O159" s="4">
        <v>2386.5</v>
      </c>
      <c r="P159" s="5">
        <v>2.1000000000000001E-2</v>
      </c>
      <c r="Q159" s="5">
        <v>0.97899999999999998</v>
      </c>
      <c r="R159" s="5">
        <v>3.7100000000000001E-2</v>
      </c>
      <c r="S159" s="5">
        <v>1.37E-2</v>
      </c>
      <c r="T159" s="5">
        <v>0.79239999999999999</v>
      </c>
      <c r="U159" s="5">
        <v>0.79290000000000005</v>
      </c>
      <c r="V159" s="5">
        <v>1.9661999999999999</v>
      </c>
      <c r="W159" s="4">
        <v>0.94030000000000002</v>
      </c>
      <c r="X159" s="6">
        <v>95080.04</v>
      </c>
      <c r="Y159" s="6">
        <v>22023.74</v>
      </c>
      <c r="Z159" s="6">
        <v>4890.63</v>
      </c>
      <c r="AA159" s="6">
        <v>128741.22</v>
      </c>
      <c r="AB159" s="6">
        <v>921.09</v>
      </c>
      <c r="AC159" s="3" t="s">
        <v>210</v>
      </c>
      <c r="AD159" s="3" t="s">
        <v>36</v>
      </c>
    </row>
    <row r="160" spans="1:30">
      <c r="A160" s="2">
        <v>46080</v>
      </c>
      <c r="B160" s="3" t="s">
        <v>30</v>
      </c>
      <c r="C160" s="3" t="s">
        <v>31</v>
      </c>
      <c r="D160" s="3" t="s">
        <v>32</v>
      </c>
      <c r="E160" s="3" t="s">
        <v>43</v>
      </c>
      <c r="F160" s="3" t="s">
        <v>40</v>
      </c>
      <c r="G160" s="4">
        <v>88.98</v>
      </c>
      <c r="H160" s="4">
        <v>79.17</v>
      </c>
      <c r="I160" s="4">
        <v>83.37</v>
      </c>
      <c r="J160" s="4">
        <v>7.96</v>
      </c>
      <c r="K160" s="4">
        <v>7.91</v>
      </c>
      <c r="L160" s="4">
        <v>2.4</v>
      </c>
      <c r="M160" s="4">
        <v>14.7</v>
      </c>
      <c r="N160" s="4">
        <v>116.68</v>
      </c>
      <c r="O160" s="4">
        <v>1542.4</v>
      </c>
      <c r="P160" s="5">
        <v>5.0299999999999997E-2</v>
      </c>
      <c r="Q160" s="5">
        <v>0.94969999999999999</v>
      </c>
      <c r="R160" s="5">
        <v>2.2200000000000001E-2</v>
      </c>
      <c r="S160" s="5">
        <v>2.0500000000000001E-2</v>
      </c>
      <c r="T160" s="5">
        <v>0.79100000000000004</v>
      </c>
      <c r="U160" s="5">
        <v>0.68600000000000005</v>
      </c>
      <c r="V160" s="5">
        <v>0.88980000000000004</v>
      </c>
      <c r="W160" s="4">
        <v>0.67849999999999999</v>
      </c>
      <c r="X160" s="6">
        <v>59786.46</v>
      </c>
      <c r="Y160" s="6">
        <v>20392.75</v>
      </c>
      <c r="Z160" s="6">
        <v>3874.37</v>
      </c>
      <c r="AA160" s="6">
        <v>90490.1</v>
      </c>
      <c r="AB160" s="6">
        <v>1142.92</v>
      </c>
      <c r="AC160" s="3" t="s">
        <v>211</v>
      </c>
      <c r="AD160" s="3" t="s">
        <v>36</v>
      </c>
    </row>
    <row r="161" spans="1:30">
      <c r="A161" s="2">
        <v>46081</v>
      </c>
      <c r="B161" s="3" t="s">
        <v>30</v>
      </c>
      <c r="C161" s="3" t="s">
        <v>31</v>
      </c>
      <c r="D161" s="3" t="s">
        <v>45</v>
      </c>
      <c r="E161" s="3" t="s">
        <v>52</v>
      </c>
      <c r="F161" s="3" t="s">
        <v>47</v>
      </c>
      <c r="G161" s="4">
        <v>110.14</v>
      </c>
      <c r="H161" s="4">
        <v>95.04</v>
      </c>
      <c r="I161" s="4">
        <v>100.19</v>
      </c>
      <c r="J161" s="4">
        <v>7.43</v>
      </c>
      <c r="K161" s="4">
        <v>7.23</v>
      </c>
      <c r="L161" s="4">
        <v>12.1</v>
      </c>
      <c r="M161" s="4">
        <v>16.600000000000001</v>
      </c>
      <c r="N161" s="4">
        <v>119.78</v>
      </c>
      <c r="O161" s="4">
        <v>1766.5</v>
      </c>
      <c r="P161" s="5">
        <v>5.1499999999999997E-2</v>
      </c>
      <c r="Q161" s="5">
        <v>0.94850000000000001</v>
      </c>
      <c r="R161" s="5">
        <v>2.7E-2</v>
      </c>
      <c r="S161" s="5">
        <v>3.5000000000000001E-3</v>
      </c>
      <c r="T161" s="5">
        <v>0.89500000000000002</v>
      </c>
      <c r="U161" s="5">
        <v>0.74870000000000003</v>
      </c>
      <c r="V161" s="5">
        <v>0.8629</v>
      </c>
      <c r="W161" s="4">
        <v>0.79339999999999999</v>
      </c>
      <c r="X161" s="6">
        <v>84912.34</v>
      </c>
      <c r="Y161" s="6">
        <v>18408.78</v>
      </c>
      <c r="Z161" s="6">
        <v>4629.25</v>
      </c>
      <c r="AA161" s="6">
        <v>110537.56</v>
      </c>
      <c r="AB161" s="6">
        <v>1163.1099999999999</v>
      </c>
      <c r="AC161" s="3" t="s">
        <v>212</v>
      </c>
      <c r="AD161" s="3" t="s">
        <v>36</v>
      </c>
    </row>
    <row r="162" spans="1:30">
      <c r="A162" s="2">
        <v>46082</v>
      </c>
      <c r="B162" s="3" t="s">
        <v>30</v>
      </c>
      <c r="C162" s="3" t="s">
        <v>31</v>
      </c>
      <c r="D162" s="3" t="s">
        <v>32</v>
      </c>
      <c r="E162" s="3" t="s">
        <v>43</v>
      </c>
      <c r="F162" s="3" t="s">
        <v>40</v>
      </c>
      <c r="G162" s="4">
        <v>124.16</v>
      </c>
      <c r="H162" s="4">
        <v>129.37</v>
      </c>
      <c r="I162" s="4">
        <v>136.54</v>
      </c>
      <c r="J162" s="4">
        <v>8.27</v>
      </c>
      <c r="K162" s="4">
        <v>8.0299999999999994</v>
      </c>
      <c r="L162" s="4">
        <v>14.2</v>
      </c>
      <c r="M162" s="4">
        <v>12.6</v>
      </c>
      <c r="N162" s="4">
        <v>101.53</v>
      </c>
      <c r="O162" s="4">
        <v>2141.3000000000002</v>
      </c>
      <c r="P162" s="5">
        <v>5.2499999999999998E-2</v>
      </c>
      <c r="Q162" s="5">
        <v>0.94750000000000001</v>
      </c>
      <c r="R162" s="5">
        <v>2.3900000000000001E-2</v>
      </c>
      <c r="S162" s="5">
        <v>1.7100000000000001E-2</v>
      </c>
      <c r="T162" s="5">
        <v>0.89529999999999998</v>
      </c>
      <c r="U162" s="5">
        <v>0.89070000000000005</v>
      </c>
      <c r="V162" s="5">
        <v>1.042</v>
      </c>
      <c r="W162" s="4">
        <v>1.2743</v>
      </c>
      <c r="X162" s="6">
        <v>91865.33</v>
      </c>
      <c r="Y162" s="6">
        <v>14751.27</v>
      </c>
      <c r="Z162" s="6">
        <v>4885.7299999999996</v>
      </c>
      <c r="AA162" s="6">
        <v>117016.91</v>
      </c>
      <c r="AB162" s="6">
        <v>904.49</v>
      </c>
      <c r="AC162" s="3" t="s">
        <v>213</v>
      </c>
      <c r="AD162" s="3" t="s">
        <v>59</v>
      </c>
    </row>
    <row r="163" spans="1:30">
      <c r="A163" s="2">
        <v>46083</v>
      </c>
      <c r="B163" s="3" t="s">
        <v>30</v>
      </c>
      <c r="C163" s="3" t="s">
        <v>42</v>
      </c>
      <c r="D163" s="3" t="s">
        <v>38</v>
      </c>
      <c r="E163" s="3" t="s">
        <v>62</v>
      </c>
      <c r="F163" s="3" t="s">
        <v>63</v>
      </c>
      <c r="G163" s="4">
        <v>94.49</v>
      </c>
      <c r="H163" s="4">
        <v>97.8</v>
      </c>
      <c r="I163" s="4">
        <v>102.45</v>
      </c>
      <c r="J163" s="4">
        <v>7.53</v>
      </c>
      <c r="K163" s="4">
        <v>7.38</v>
      </c>
      <c r="L163" s="4">
        <v>9.1</v>
      </c>
      <c r="M163" s="4">
        <v>14</v>
      </c>
      <c r="N163" s="4">
        <v>103.35</v>
      </c>
      <c r="O163" s="4">
        <v>1884.6</v>
      </c>
      <c r="P163" s="5">
        <v>4.5400000000000003E-2</v>
      </c>
      <c r="Q163" s="5">
        <v>0.9546</v>
      </c>
      <c r="R163" s="5">
        <v>5.2699999999999997E-2</v>
      </c>
      <c r="S163" s="5">
        <v>1.2699999999999999E-2</v>
      </c>
      <c r="T163" s="5">
        <v>0.78010000000000002</v>
      </c>
      <c r="U163" s="5">
        <v>0.78120000000000001</v>
      </c>
      <c r="V163" s="5">
        <v>1.0349999999999999</v>
      </c>
      <c r="W163" s="4">
        <v>0.94630000000000003</v>
      </c>
      <c r="X163" s="6">
        <v>77949.279999999999</v>
      </c>
      <c r="Y163" s="6">
        <v>18665.72</v>
      </c>
      <c r="Z163" s="6">
        <v>5187.8599999999997</v>
      </c>
      <c r="AA163" s="6">
        <v>107132.65</v>
      </c>
      <c r="AB163" s="6">
        <v>1095.44</v>
      </c>
      <c r="AC163" s="3" t="s">
        <v>214</v>
      </c>
      <c r="AD163" s="3" t="s">
        <v>75</v>
      </c>
    </row>
    <row r="164" spans="1:30">
      <c r="A164" s="2">
        <v>46084</v>
      </c>
      <c r="B164" s="3" t="s">
        <v>30</v>
      </c>
      <c r="C164" s="3" t="s">
        <v>31</v>
      </c>
      <c r="D164" s="3" t="s">
        <v>45</v>
      </c>
      <c r="E164" s="3" t="s">
        <v>46</v>
      </c>
      <c r="F164" s="3" t="s">
        <v>47</v>
      </c>
      <c r="G164" s="4">
        <v>143.96</v>
      </c>
      <c r="H164" s="4">
        <v>147.16</v>
      </c>
      <c r="I164" s="4">
        <v>155.68</v>
      </c>
      <c r="J164" s="4">
        <v>8.2100000000000009</v>
      </c>
      <c r="K164" s="4">
        <v>7.94</v>
      </c>
      <c r="L164" s="4">
        <v>15.9</v>
      </c>
      <c r="M164" s="4">
        <v>11.5</v>
      </c>
      <c r="N164" s="4">
        <v>91.35</v>
      </c>
      <c r="O164" s="4">
        <v>2370.1999999999998</v>
      </c>
      <c r="P164" s="5">
        <v>5.4699999999999999E-2</v>
      </c>
      <c r="Q164" s="5">
        <v>0.94530000000000003</v>
      </c>
      <c r="R164" s="5">
        <v>2.5000000000000001E-2</v>
      </c>
      <c r="S164" s="5">
        <v>1.2200000000000001E-2</v>
      </c>
      <c r="T164" s="5">
        <v>0.85499999999999998</v>
      </c>
      <c r="U164" s="5">
        <v>0.83560000000000001</v>
      </c>
      <c r="V164" s="5">
        <v>1.0222</v>
      </c>
      <c r="W164" s="4">
        <v>1.611</v>
      </c>
      <c r="X164" s="6">
        <v>127582.44</v>
      </c>
      <c r="Y164" s="6">
        <v>14232.92</v>
      </c>
      <c r="Z164" s="6">
        <v>5349.37</v>
      </c>
      <c r="AA164" s="6">
        <v>150670.85999999999</v>
      </c>
      <c r="AB164" s="6">
        <v>1023.87</v>
      </c>
      <c r="AC164" s="3" t="s">
        <v>215</v>
      </c>
      <c r="AD164" s="3" t="s">
        <v>75</v>
      </c>
    </row>
    <row r="165" spans="1:30">
      <c r="A165" s="2">
        <v>46085</v>
      </c>
      <c r="B165" s="3" t="s">
        <v>30</v>
      </c>
      <c r="C165" s="3" t="s">
        <v>37</v>
      </c>
      <c r="D165" s="3" t="s">
        <v>38</v>
      </c>
      <c r="E165" s="3" t="s">
        <v>39</v>
      </c>
      <c r="F165" s="3" t="s">
        <v>40</v>
      </c>
      <c r="G165" s="4">
        <v>69.06</v>
      </c>
      <c r="H165" s="4">
        <v>121.91</v>
      </c>
      <c r="I165" s="4">
        <v>127.88</v>
      </c>
      <c r="J165" s="4">
        <v>7.77</v>
      </c>
      <c r="K165" s="4">
        <v>7.57</v>
      </c>
      <c r="L165" s="4">
        <v>12.4</v>
      </c>
      <c r="M165" s="4">
        <v>16.7</v>
      </c>
      <c r="N165" s="4">
        <v>126.25</v>
      </c>
      <c r="O165" s="4">
        <v>2015.8</v>
      </c>
      <c r="P165" s="5">
        <v>4.6699999999999998E-2</v>
      </c>
      <c r="Q165" s="5">
        <v>0.95330000000000004</v>
      </c>
      <c r="R165" s="5">
        <v>2.5700000000000001E-2</v>
      </c>
      <c r="S165" s="5">
        <v>1.7299999999999999E-2</v>
      </c>
      <c r="T165" s="5">
        <v>0.88049999999999995</v>
      </c>
      <c r="U165" s="5">
        <v>0.88429999999999997</v>
      </c>
      <c r="V165" s="5">
        <v>1.7650999999999999</v>
      </c>
      <c r="W165" s="4">
        <v>0.96560000000000001</v>
      </c>
      <c r="X165" s="6">
        <v>92574.74</v>
      </c>
      <c r="Y165" s="6">
        <v>20029.580000000002</v>
      </c>
      <c r="Z165" s="6">
        <v>4241</v>
      </c>
      <c r="AA165" s="6">
        <v>122936.87</v>
      </c>
      <c r="AB165" s="6">
        <v>1008.43</v>
      </c>
      <c r="AC165" s="3" t="s">
        <v>216</v>
      </c>
      <c r="AD165" s="3" t="s">
        <v>36</v>
      </c>
    </row>
    <row r="166" spans="1:30">
      <c r="A166" s="2">
        <v>46086</v>
      </c>
      <c r="B166" s="3" t="s">
        <v>30</v>
      </c>
      <c r="C166" s="3" t="s">
        <v>51</v>
      </c>
      <c r="D166" s="3" t="s">
        <v>45</v>
      </c>
      <c r="E166" s="3" t="s">
        <v>33</v>
      </c>
      <c r="F166" s="3" t="s">
        <v>34</v>
      </c>
      <c r="G166" s="4">
        <v>102.42</v>
      </c>
      <c r="H166" s="4">
        <v>87.93</v>
      </c>
      <c r="I166" s="4">
        <v>91.71</v>
      </c>
      <c r="J166" s="4">
        <v>7.32</v>
      </c>
      <c r="K166" s="4">
        <v>7.28</v>
      </c>
      <c r="L166" s="4">
        <v>2.2000000000000002</v>
      </c>
      <c r="M166" s="4">
        <v>17.5</v>
      </c>
      <c r="N166" s="4">
        <v>127.3</v>
      </c>
      <c r="O166" s="4">
        <v>1778.4</v>
      </c>
      <c r="P166" s="5">
        <v>4.1300000000000003E-2</v>
      </c>
      <c r="Q166" s="5">
        <v>0.9587</v>
      </c>
      <c r="R166" s="5">
        <v>4.02E-2</v>
      </c>
      <c r="S166" s="5">
        <v>1.32E-2</v>
      </c>
      <c r="T166" s="5">
        <v>0.74870000000000003</v>
      </c>
      <c r="U166" s="5">
        <v>0.63109999999999999</v>
      </c>
      <c r="V166" s="5">
        <v>0.85850000000000004</v>
      </c>
      <c r="W166" s="4">
        <v>0.69069999999999998</v>
      </c>
      <c r="X166" s="6">
        <v>75996.92</v>
      </c>
      <c r="Y166" s="6">
        <v>21015.01</v>
      </c>
      <c r="Z166" s="6">
        <v>4358.66</v>
      </c>
      <c r="AA166" s="6">
        <v>107295.51</v>
      </c>
      <c r="AB166" s="6">
        <v>1220.28</v>
      </c>
      <c r="AC166" s="3" t="s">
        <v>217</v>
      </c>
      <c r="AD166" s="3" t="s">
        <v>36</v>
      </c>
    </row>
    <row r="167" spans="1:30">
      <c r="A167" s="2">
        <v>46087</v>
      </c>
      <c r="B167" s="3" t="s">
        <v>30</v>
      </c>
      <c r="C167" s="3" t="s">
        <v>37</v>
      </c>
      <c r="D167" s="3" t="s">
        <v>45</v>
      </c>
      <c r="E167" s="3" t="s">
        <v>43</v>
      </c>
      <c r="F167" s="3" t="s">
        <v>40</v>
      </c>
      <c r="G167" s="4">
        <v>109.84</v>
      </c>
      <c r="H167" s="4">
        <v>145.38</v>
      </c>
      <c r="I167" s="4">
        <v>154.02000000000001</v>
      </c>
      <c r="J167" s="4">
        <v>8.3699999999999992</v>
      </c>
      <c r="K167" s="4">
        <v>8.2899999999999991</v>
      </c>
      <c r="L167" s="4">
        <v>5.3</v>
      </c>
      <c r="M167" s="4">
        <v>11.5</v>
      </c>
      <c r="N167" s="4">
        <v>95.25</v>
      </c>
      <c r="O167" s="4">
        <v>2436.8000000000002</v>
      </c>
      <c r="P167" s="5">
        <v>5.6099999999999997E-2</v>
      </c>
      <c r="Q167" s="5">
        <v>0.94389999999999996</v>
      </c>
      <c r="R167" s="5">
        <v>3.9199999999999999E-2</v>
      </c>
      <c r="S167" s="5">
        <v>2.1499999999999998E-2</v>
      </c>
      <c r="T167" s="5">
        <v>0.93240000000000001</v>
      </c>
      <c r="U167" s="5">
        <v>0.94789999999999996</v>
      </c>
      <c r="V167" s="5">
        <v>1.3234999999999999</v>
      </c>
      <c r="W167" s="4">
        <v>1.5262</v>
      </c>
      <c r="X167" s="6">
        <v>126476.84</v>
      </c>
      <c r="Y167" s="6">
        <v>17165.759999999998</v>
      </c>
      <c r="Z167" s="6">
        <v>6085.52</v>
      </c>
      <c r="AA167" s="6">
        <v>152334.57</v>
      </c>
      <c r="AB167" s="6">
        <v>1047.8399999999999</v>
      </c>
      <c r="AC167" s="3" t="s">
        <v>218</v>
      </c>
      <c r="AD167" s="3" t="s">
        <v>59</v>
      </c>
    </row>
    <row r="168" spans="1:30">
      <c r="A168" s="2">
        <v>46088</v>
      </c>
      <c r="B168" s="3" t="s">
        <v>30</v>
      </c>
      <c r="C168" s="3" t="s">
        <v>51</v>
      </c>
      <c r="D168" s="3" t="s">
        <v>38</v>
      </c>
      <c r="E168" s="3" t="s">
        <v>33</v>
      </c>
      <c r="F168" s="3" t="s">
        <v>34</v>
      </c>
      <c r="G168" s="4">
        <v>97.57</v>
      </c>
      <c r="H168" s="4">
        <v>132.66999999999999</v>
      </c>
      <c r="I168" s="4">
        <v>137.75</v>
      </c>
      <c r="J168" s="4">
        <v>8.43</v>
      </c>
      <c r="K168" s="4">
        <v>8.18</v>
      </c>
      <c r="L168" s="4">
        <v>15</v>
      </c>
      <c r="M168" s="4">
        <v>19.8</v>
      </c>
      <c r="N168" s="4">
        <v>161.77000000000001</v>
      </c>
      <c r="O168" s="4">
        <v>2258</v>
      </c>
      <c r="P168" s="5">
        <v>3.6900000000000002E-2</v>
      </c>
      <c r="Q168" s="5">
        <v>0.96309999999999996</v>
      </c>
      <c r="R168" s="5">
        <v>2.7699999999999999E-2</v>
      </c>
      <c r="S168" s="5">
        <v>3.5000000000000001E-3</v>
      </c>
      <c r="T168" s="5">
        <v>0.80789999999999995</v>
      </c>
      <c r="U168" s="5">
        <v>0.82020000000000004</v>
      </c>
      <c r="V168" s="5">
        <v>1.3597999999999999</v>
      </c>
      <c r="W168" s="4">
        <v>0.82010000000000005</v>
      </c>
      <c r="X168" s="6">
        <v>100290.65</v>
      </c>
      <c r="Y168" s="6">
        <v>28696.34</v>
      </c>
      <c r="Z168" s="6">
        <v>4757.95</v>
      </c>
      <c r="AA168" s="6">
        <v>136944.64000000001</v>
      </c>
      <c r="AB168" s="6">
        <v>1032.23</v>
      </c>
      <c r="AC168" s="3" t="s">
        <v>219</v>
      </c>
      <c r="AD168" s="3" t="s">
        <v>36</v>
      </c>
    </row>
    <row r="169" spans="1:30">
      <c r="A169" s="2">
        <v>46089</v>
      </c>
      <c r="B169" s="3" t="s">
        <v>30</v>
      </c>
      <c r="C169" s="3" t="s">
        <v>31</v>
      </c>
      <c r="D169" s="3" t="s">
        <v>45</v>
      </c>
      <c r="E169" s="3" t="s">
        <v>43</v>
      </c>
      <c r="F169" s="3" t="s">
        <v>40</v>
      </c>
      <c r="G169" s="4">
        <v>143.63</v>
      </c>
      <c r="H169" s="4">
        <v>88</v>
      </c>
      <c r="I169" s="4">
        <v>92.94</v>
      </c>
      <c r="J169" s="4">
        <v>7.39</v>
      </c>
      <c r="K169" s="4">
        <v>6.78</v>
      </c>
      <c r="L169" s="4">
        <v>36.700000000000003</v>
      </c>
      <c r="M169" s="4">
        <v>12.1</v>
      </c>
      <c r="N169" s="4">
        <v>81.78</v>
      </c>
      <c r="O169" s="4">
        <v>1804.8</v>
      </c>
      <c r="P169" s="5">
        <v>5.3100000000000001E-2</v>
      </c>
      <c r="Q169" s="5">
        <v>0.94689999999999996</v>
      </c>
      <c r="R169" s="5">
        <v>6.1000000000000004E-3</v>
      </c>
      <c r="S169" s="5">
        <v>1.26E-2</v>
      </c>
      <c r="T169" s="5">
        <v>0.72670000000000001</v>
      </c>
      <c r="U169" s="5">
        <v>0.4032</v>
      </c>
      <c r="V169" s="5">
        <v>0.61270000000000002</v>
      </c>
      <c r="W169" s="4">
        <v>1.0760000000000001</v>
      </c>
      <c r="X169" s="6">
        <v>78390.75</v>
      </c>
      <c r="Y169" s="6">
        <v>14214.31</v>
      </c>
      <c r="Z169" s="6">
        <v>4132.8500000000004</v>
      </c>
      <c r="AA169" s="6">
        <v>100959.88</v>
      </c>
      <c r="AB169" s="6">
        <v>1147.24</v>
      </c>
      <c r="AC169" s="3" t="s">
        <v>220</v>
      </c>
      <c r="AD169" s="3" t="s">
        <v>59</v>
      </c>
    </row>
    <row r="170" spans="1:30">
      <c r="A170" s="2">
        <v>46090</v>
      </c>
      <c r="B170" s="3" t="s">
        <v>30</v>
      </c>
      <c r="C170" s="3" t="s">
        <v>42</v>
      </c>
      <c r="D170" s="3" t="s">
        <v>45</v>
      </c>
      <c r="E170" s="3" t="s">
        <v>46</v>
      </c>
      <c r="F170" s="3" t="s">
        <v>47</v>
      </c>
      <c r="G170" s="4">
        <v>121.72</v>
      </c>
      <c r="H170" s="4">
        <v>137.38</v>
      </c>
      <c r="I170" s="4">
        <v>148.33000000000001</v>
      </c>
      <c r="J170" s="4">
        <v>8.3800000000000008</v>
      </c>
      <c r="K170" s="4">
        <v>8.33</v>
      </c>
      <c r="L170" s="4">
        <v>2.8</v>
      </c>
      <c r="M170" s="4">
        <v>16.399999999999999</v>
      </c>
      <c r="N170" s="4">
        <v>137</v>
      </c>
      <c r="O170" s="4">
        <v>2307.6</v>
      </c>
      <c r="P170" s="5">
        <v>7.3800000000000004E-2</v>
      </c>
      <c r="Q170" s="5">
        <v>0.92620000000000002</v>
      </c>
      <c r="R170" s="5">
        <v>3.3799999999999997E-2</v>
      </c>
      <c r="S170" s="5">
        <v>1.84E-2</v>
      </c>
      <c r="T170" s="5">
        <v>0.78810000000000002</v>
      </c>
      <c r="U170" s="5">
        <v>0.80769999999999997</v>
      </c>
      <c r="V170" s="5">
        <v>1.1286</v>
      </c>
      <c r="W170" s="4">
        <v>1.0027999999999999</v>
      </c>
      <c r="X170" s="6">
        <v>96467.18</v>
      </c>
      <c r="Y170" s="6">
        <v>21477.58</v>
      </c>
      <c r="Z170" s="6">
        <v>6195.51</v>
      </c>
      <c r="AA170" s="6">
        <v>129455.25</v>
      </c>
      <c r="AB170" s="6">
        <v>942.34</v>
      </c>
      <c r="AC170" s="3" t="s">
        <v>221</v>
      </c>
      <c r="AD170" s="3" t="s">
        <v>59</v>
      </c>
    </row>
    <row r="171" spans="1:30">
      <c r="A171" s="2">
        <v>46091</v>
      </c>
      <c r="B171" s="3" t="s">
        <v>30</v>
      </c>
      <c r="C171" s="3" t="s">
        <v>37</v>
      </c>
      <c r="D171" s="3" t="s">
        <v>45</v>
      </c>
      <c r="E171" s="3" t="s">
        <v>39</v>
      </c>
      <c r="F171" s="3" t="s">
        <v>40</v>
      </c>
      <c r="G171" s="4">
        <v>88.26</v>
      </c>
      <c r="H171" s="4">
        <v>120.32</v>
      </c>
      <c r="I171" s="4">
        <v>126.21</v>
      </c>
      <c r="J171" s="4">
        <v>7.99</v>
      </c>
      <c r="K171" s="4">
        <v>7.89</v>
      </c>
      <c r="L171" s="4">
        <v>6.1</v>
      </c>
      <c r="M171" s="4">
        <v>17.899999999999999</v>
      </c>
      <c r="N171" s="4">
        <v>140.97999999999999</v>
      </c>
      <c r="O171" s="4">
        <v>2097.6999999999998</v>
      </c>
      <c r="P171" s="5">
        <v>4.6699999999999998E-2</v>
      </c>
      <c r="Q171" s="5">
        <v>0.95330000000000004</v>
      </c>
      <c r="R171" s="5">
        <v>1.61E-2</v>
      </c>
      <c r="S171" s="5">
        <v>1.66E-2</v>
      </c>
      <c r="T171" s="5">
        <v>0.84260000000000002</v>
      </c>
      <c r="U171" s="5">
        <v>0.85899999999999999</v>
      </c>
      <c r="V171" s="5">
        <v>1.3633</v>
      </c>
      <c r="W171" s="4">
        <v>0.85350000000000004</v>
      </c>
      <c r="X171" s="6">
        <v>110407.45</v>
      </c>
      <c r="Y171" s="6">
        <v>26475.54</v>
      </c>
      <c r="Z171" s="6">
        <v>5772.87</v>
      </c>
      <c r="AA171" s="6">
        <v>147061.23000000001</v>
      </c>
      <c r="AB171" s="6">
        <v>1222.26</v>
      </c>
      <c r="AC171" s="3" t="s">
        <v>222</v>
      </c>
      <c r="AD171" s="3" t="s">
        <v>36</v>
      </c>
    </row>
    <row r="172" spans="1:30">
      <c r="A172" s="2">
        <v>46092</v>
      </c>
      <c r="B172" s="3" t="s">
        <v>30</v>
      </c>
      <c r="C172" s="3" t="s">
        <v>51</v>
      </c>
      <c r="D172" s="3" t="s">
        <v>38</v>
      </c>
      <c r="E172" s="3" t="s">
        <v>52</v>
      </c>
      <c r="F172" s="3" t="s">
        <v>47</v>
      </c>
      <c r="G172" s="4">
        <v>55.32</v>
      </c>
      <c r="H172" s="4">
        <v>123.26</v>
      </c>
      <c r="I172" s="4">
        <v>128.57</v>
      </c>
      <c r="J172" s="4">
        <v>8.44</v>
      </c>
      <c r="K172" s="4">
        <v>7.96</v>
      </c>
      <c r="L172" s="4">
        <v>28.7</v>
      </c>
      <c r="M172" s="4">
        <v>19.3</v>
      </c>
      <c r="N172" s="4">
        <v>153.94</v>
      </c>
      <c r="O172" s="4">
        <v>2169.4</v>
      </c>
      <c r="P172" s="5">
        <v>4.1300000000000003E-2</v>
      </c>
      <c r="Q172" s="5">
        <v>0.9587</v>
      </c>
      <c r="R172" s="5">
        <v>3.1600000000000003E-2</v>
      </c>
      <c r="S172" s="5">
        <v>1.52E-2</v>
      </c>
      <c r="T172" s="5">
        <v>0.75370000000000004</v>
      </c>
      <c r="U172" s="5">
        <v>0.73519999999999996</v>
      </c>
      <c r="V172" s="5">
        <v>2.2281</v>
      </c>
      <c r="W172" s="4">
        <v>0.80069999999999997</v>
      </c>
      <c r="X172" s="6">
        <v>101297.63</v>
      </c>
      <c r="Y172" s="6">
        <v>22867.919999999998</v>
      </c>
      <c r="Z172" s="6">
        <v>5150.3100000000004</v>
      </c>
      <c r="AA172" s="6">
        <v>132878.43</v>
      </c>
      <c r="AB172" s="6">
        <v>1078.04</v>
      </c>
      <c r="AC172" s="3" t="s">
        <v>223</v>
      </c>
      <c r="AD172" s="3" t="s">
        <v>59</v>
      </c>
    </row>
    <row r="173" spans="1:30">
      <c r="A173" s="2">
        <v>46093</v>
      </c>
      <c r="B173" s="3" t="s">
        <v>30</v>
      </c>
      <c r="C173" s="3" t="s">
        <v>37</v>
      </c>
      <c r="D173" s="3" t="s">
        <v>38</v>
      </c>
      <c r="E173" s="3" t="s">
        <v>62</v>
      </c>
      <c r="F173" s="3" t="s">
        <v>63</v>
      </c>
      <c r="G173" s="4">
        <v>140.25</v>
      </c>
      <c r="H173" s="4">
        <v>87.71</v>
      </c>
      <c r="I173" s="4">
        <v>94.39</v>
      </c>
      <c r="J173" s="4">
        <v>8.43</v>
      </c>
      <c r="K173" s="4">
        <v>8.15</v>
      </c>
      <c r="L173" s="4">
        <v>16.899999999999999</v>
      </c>
      <c r="M173" s="4">
        <v>16.2</v>
      </c>
      <c r="N173" s="4">
        <v>132.34</v>
      </c>
      <c r="O173" s="4">
        <v>1763.5</v>
      </c>
      <c r="P173" s="5">
        <v>7.0800000000000002E-2</v>
      </c>
      <c r="Q173" s="5">
        <v>0.92920000000000003</v>
      </c>
      <c r="R173" s="5">
        <v>3.7499999999999999E-2</v>
      </c>
      <c r="S173" s="5">
        <v>8.5000000000000006E-3</v>
      </c>
      <c r="T173" s="5">
        <v>0.59540000000000004</v>
      </c>
      <c r="U173" s="5">
        <v>0.3569</v>
      </c>
      <c r="V173" s="5">
        <v>0.62539999999999996</v>
      </c>
      <c r="W173" s="4">
        <v>0.66269999999999996</v>
      </c>
      <c r="X173" s="6">
        <v>76364.210000000006</v>
      </c>
      <c r="Y173" s="6">
        <v>19443.78</v>
      </c>
      <c r="Z173" s="6">
        <v>4061.38</v>
      </c>
      <c r="AA173" s="6">
        <v>105323.79</v>
      </c>
      <c r="AB173" s="6">
        <v>1200.83</v>
      </c>
      <c r="AC173" s="3" t="s">
        <v>224</v>
      </c>
      <c r="AD173" s="3" t="s">
        <v>36</v>
      </c>
    </row>
    <row r="174" spans="1:30">
      <c r="A174" s="2">
        <v>46094</v>
      </c>
      <c r="B174" s="3" t="s">
        <v>30</v>
      </c>
      <c r="C174" s="3" t="s">
        <v>31</v>
      </c>
      <c r="D174" s="3" t="s">
        <v>38</v>
      </c>
      <c r="E174" s="3" t="s">
        <v>52</v>
      </c>
      <c r="F174" s="3" t="s">
        <v>47</v>
      </c>
      <c r="G174" s="4">
        <v>124.34</v>
      </c>
      <c r="H174" s="4">
        <v>143.29</v>
      </c>
      <c r="I174" s="4">
        <v>150.82</v>
      </c>
      <c r="J174" s="4">
        <v>7.76</v>
      </c>
      <c r="K174" s="4">
        <v>7.58</v>
      </c>
      <c r="L174" s="4">
        <v>10.9</v>
      </c>
      <c r="M174" s="4">
        <v>15.7</v>
      </c>
      <c r="N174" s="4">
        <v>119</v>
      </c>
      <c r="O174" s="4">
        <v>2452.4</v>
      </c>
      <c r="P174" s="5">
        <v>4.99E-2</v>
      </c>
      <c r="Q174" s="5">
        <v>0.95009999999999994</v>
      </c>
      <c r="R174" s="5">
        <v>3.49E-2</v>
      </c>
      <c r="S174" s="5">
        <v>5.4999999999999997E-3</v>
      </c>
      <c r="T174" s="5">
        <v>0.77539999999999998</v>
      </c>
      <c r="U174" s="5">
        <v>0.79079999999999995</v>
      </c>
      <c r="V174" s="5">
        <v>1.1525000000000001</v>
      </c>
      <c r="W174" s="4">
        <v>1.2041999999999999</v>
      </c>
      <c r="X174" s="6">
        <v>122159.94</v>
      </c>
      <c r="Y174" s="6">
        <v>19544.68</v>
      </c>
      <c r="Z174" s="6">
        <v>6578.85</v>
      </c>
      <c r="AA174" s="6">
        <v>152008.32000000001</v>
      </c>
      <c r="AB174" s="6">
        <v>1060.82</v>
      </c>
      <c r="AC174" s="3" t="s">
        <v>225</v>
      </c>
      <c r="AD174" s="3" t="s">
        <v>36</v>
      </c>
    </row>
    <row r="175" spans="1:30">
      <c r="A175" s="2">
        <v>46095</v>
      </c>
      <c r="B175" s="3" t="s">
        <v>30</v>
      </c>
      <c r="C175" s="3" t="s">
        <v>37</v>
      </c>
      <c r="D175" s="3" t="s">
        <v>38</v>
      </c>
      <c r="E175" s="3" t="s">
        <v>39</v>
      </c>
      <c r="F175" s="3" t="s">
        <v>40</v>
      </c>
      <c r="G175" s="4">
        <v>85.47</v>
      </c>
      <c r="H175" s="4">
        <v>131.66999999999999</v>
      </c>
      <c r="I175" s="4">
        <v>138.04</v>
      </c>
      <c r="J175" s="4">
        <v>7.48</v>
      </c>
      <c r="K175" s="4">
        <v>7.35</v>
      </c>
      <c r="L175" s="4">
        <v>7.8</v>
      </c>
      <c r="M175" s="4">
        <v>16.899999999999999</v>
      </c>
      <c r="N175" s="4">
        <v>123.91</v>
      </c>
      <c r="O175" s="4">
        <v>2225.3000000000002</v>
      </c>
      <c r="P175" s="5">
        <v>4.6199999999999998E-2</v>
      </c>
      <c r="Q175" s="5">
        <v>0.95379999999999998</v>
      </c>
      <c r="R175" s="5">
        <v>4.3700000000000003E-2</v>
      </c>
      <c r="S175" s="5">
        <v>1.29E-2</v>
      </c>
      <c r="T175" s="5">
        <v>0.8296</v>
      </c>
      <c r="U175" s="5">
        <v>0.84499999999999997</v>
      </c>
      <c r="V175" s="5">
        <v>1.5405</v>
      </c>
      <c r="W175" s="4">
        <v>1.0626</v>
      </c>
      <c r="X175" s="6">
        <v>97132.18</v>
      </c>
      <c r="Y175" s="6">
        <v>20158.13</v>
      </c>
      <c r="Z175" s="6">
        <v>4907.3999999999996</v>
      </c>
      <c r="AA175" s="6">
        <v>128058.66</v>
      </c>
      <c r="AB175" s="6">
        <v>972.58</v>
      </c>
      <c r="AC175" s="3" t="s">
        <v>226</v>
      </c>
      <c r="AD175" s="3" t="s">
        <v>49</v>
      </c>
    </row>
    <row r="176" spans="1:30">
      <c r="A176" s="2">
        <v>46096</v>
      </c>
      <c r="B176" s="3" t="s">
        <v>30</v>
      </c>
      <c r="C176" s="3" t="s">
        <v>31</v>
      </c>
      <c r="D176" s="3" t="s">
        <v>32</v>
      </c>
      <c r="E176" s="3" t="s">
        <v>62</v>
      </c>
      <c r="F176" s="3" t="s">
        <v>63</v>
      </c>
      <c r="G176" s="4">
        <v>58.33</v>
      </c>
      <c r="H176" s="4">
        <v>131.16999999999999</v>
      </c>
      <c r="I176" s="4">
        <v>137.94999999999999</v>
      </c>
      <c r="J176" s="4">
        <v>7.96</v>
      </c>
      <c r="K176" s="4">
        <v>7.83</v>
      </c>
      <c r="L176" s="4">
        <v>7.8</v>
      </c>
      <c r="M176" s="4">
        <v>17.8</v>
      </c>
      <c r="N176" s="4">
        <v>139.63999999999999</v>
      </c>
      <c r="O176" s="4">
        <v>2395</v>
      </c>
      <c r="P176" s="5">
        <v>4.9200000000000001E-2</v>
      </c>
      <c r="Q176" s="5">
        <v>0.95079999999999998</v>
      </c>
      <c r="R176" s="5">
        <v>3.0499999999999999E-2</v>
      </c>
      <c r="S176" s="5">
        <v>1.5699999999999999E-2</v>
      </c>
      <c r="T176" s="5">
        <v>0.91110000000000002</v>
      </c>
      <c r="U176" s="5">
        <v>0.92620000000000002</v>
      </c>
      <c r="V176" s="5">
        <v>2.2486000000000002</v>
      </c>
      <c r="W176" s="4">
        <v>0.93930000000000002</v>
      </c>
      <c r="X176" s="6">
        <v>114083.4</v>
      </c>
      <c r="Y176" s="6">
        <v>20707.38</v>
      </c>
      <c r="Z176" s="6">
        <v>4914.1499999999996</v>
      </c>
      <c r="AA176" s="6">
        <v>142898.12</v>
      </c>
      <c r="AB176" s="6">
        <v>1089.42</v>
      </c>
      <c r="AC176" s="3" t="s">
        <v>227</v>
      </c>
      <c r="AD176" s="3" t="s">
        <v>36</v>
      </c>
    </row>
    <row r="177" spans="1:30">
      <c r="A177" s="2">
        <v>46097</v>
      </c>
      <c r="B177" s="3" t="s">
        <v>30</v>
      </c>
      <c r="C177" s="3" t="s">
        <v>42</v>
      </c>
      <c r="D177" s="3" t="s">
        <v>45</v>
      </c>
      <c r="E177" s="3" t="s">
        <v>46</v>
      </c>
      <c r="F177" s="3" t="s">
        <v>47</v>
      </c>
      <c r="G177" s="4">
        <v>106.48</v>
      </c>
      <c r="H177" s="4">
        <v>88.44</v>
      </c>
      <c r="I177" s="4">
        <v>93.74</v>
      </c>
      <c r="J177" s="4">
        <v>7.58</v>
      </c>
      <c r="K177" s="4">
        <v>7.16</v>
      </c>
      <c r="L177" s="4">
        <v>25.6</v>
      </c>
      <c r="M177" s="4">
        <v>15.1</v>
      </c>
      <c r="N177" s="4">
        <v>108.18</v>
      </c>
      <c r="O177" s="4">
        <v>1934.4</v>
      </c>
      <c r="P177" s="5">
        <v>5.6500000000000002E-2</v>
      </c>
      <c r="Q177" s="5">
        <v>0.94350000000000001</v>
      </c>
      <c r="R177" s="5">
        <v>5.21E-2</v>
      </c>
      <c r="S177" s="5">
        <v>1.9599999999999999E-2</v>
      </c>
      <c r="T177" s="5">
        <v>0.76429999999999998</v>
      </c>
      <c r="U177" s="5">
        <v>0.58730000000000004</v>
      </c>
      <c r="V177" s="5">
        <v>0.8306</v>
      </c>
      <c r="W177" s="4">
        <v>0.8175</v>
      </c>
      <c r="X177" s="6">
        <v>64213.09</v>
      </c>
      <c r="Y177" s="6">
        <v>19645.13</v>
      </c>
      <c r="Z177" s="6">
        <v>4735.55</v>
      </c>
      <c r="AA177" s="6">
        <v>92260</v>
      </c>
      <c r="AB177" s="6">
        <v>1043.18</v>
      </c>
      <c r="AC177" s="3" t="s">
        <v>228</v>
      </c>
      <c r="AD177" s="3" t="s">
        <v>36</v>
      </c>
    </row>
    <row r="178" spans="1:30">
      <c r="A178" s="2">
        <v>46098</v>
      </c>
      <c r="B178" s="3" t="s">
        <v>30</v>
      </c>
      <c r="C178" s="3" t="s">
        <v>37</v>
      </c>
      <c r="D178" s="3" t="s">
        <v>32</v>
      </c>
      <c r="E178" s="3" t="s">
        <v>43</v>
      </c>
      <c r="F178" s="3" t="s">
        <v>40</v>
      </c>
      <c r="G178" s="4">
        <v>149.16999999999999</v>
      </c>
      <c r="H178" s="4">
        <v>94.28</v>
      </c>
      <c r="I178" s="4">
        <v>96.72</v>
      </c>
      <c r="J178" s="4">
        <v>7.74</v>
      </c>
      <c r="K178" s="4">
        <v>7.61</v>
      </c>
      <c r="L178" s="4">
        <v>7.3</v>
      </c>
      <c r="M178" s="4">
        <v>17.600000000000001</v>
      </c>
      <c r="N178" s="4">
        <v>134.04</v>
      </c>
      <c r="O178" s="4">
        <v>2091.6999999999998</v>
      </c>
      <c r="P178" s="5">
        <v>2.52E-2</v>
      </c>
      <c r="Q178" s="5">
        <v>0.9748</v>
      </c>
      <c r="R178" s="5">
        <v>3.15E-2</v>
      </c>
      <c r="S178" s="5">
        <v>1.9699999999999999E-2</v>
      </c>
      <c r="T178" s="5">
        <v>0.92510000000000003</v>
      </c>
      <c r="U178" s="5">
        <v>0.56410000000000005</v>
      </c>
      <c r="V178" s="5">
        <v>0.6321</v>
      </c>
      <c r="W178" s="4">
        <v>0.70340000000000003</v>
      </c>
      <c r="X178" s="6">
        <v>70054.39</v>
      </c>
      <c r="Y178" s="6">
        <v>21921.360000000001</v>
      </c>
      <c r="Z178" s="6">
        <v>5060.3500000000004</v>
      </c>
      <c r="AA178" s="6">
        <v>103014.78</v>
      </c>
      <c r="AB178" s="6">
        <v>1092.6300000000001</v>
      </c>
      <c r="AC178" s="3" t="s">
        <v>229</v>
      </c>
      <c r="AD178" s="3" t="s">
        <v>36</v>
      </c>
    </row>
    <row r="179" spans="1:30">
      <c r="A179" s="2">
        <v>46099</v>
      </c>
      <c r="B179" s="3" t="s">
        <v>30</v>
      </c>
      <c r="C179" s="3" t="s">
        <v>37</v>
      </c>
      <c r="D179" s="3" t="s">
        <v>38</v>
      </c>
      <c r="E179" s="3" t="s">
        <v>46</v>
      </c>
      <c r="F179" s="3" t="s">
        <v>47</v>
      </c>
      <c r="G179" s="4">
        <v>109.12</v>
      </c>
      <c r="H179" s="4">
        <v>95.68</v>
      </c>
      <c r="I179" s="4">
        <v>100.87</v>
      </c>
      <c r="J179" s="4">
        <v>7.4</v>
      </c>
      <c r="K179" s="4">
        <v>7.16</v>
      </c>
      <c r="L179" s="4">
        <v>14.2</v>
      </c>
      <c r="M179" s="4">
        <v>19</v>
      </c>
      <c r="N179" s="4">
        <v>135.91</v>
      </c>
      <c r="O179" s="4">
        <v>1729.9</v>
      </c>
      <c r="P179" s="5">
        <v>5.1499999999999997E-2</v>
      </c>
      <c r="Q179" s="5">
        <v>0.94850000000000001</v>
      </c>
      <c r="R179" s="5">
        <v>3.1199999999999999E-2</v>
      </c>
      <c r="S179" s="5">
        <v>1.6199999999999999E-2</v>
      </c>
      <c r="T179" s="5">
        <v>0.82289999999999996</v>
      </c>
      <c r="U179" s="5">
        <v>0.68710000000000004</v>
      </c>
      <c r="V179" s="5">
        <v>0.87680000000000002</v>
      </c>
      <c r="W179" s="4">
        <v>0.70399999999999996</v>
      </c>
      <c r="X179" s="6">
        <v>65750.600000000006</v>
      </c>
      <c r="Y179" s="6">
        <v>23709.26</v>
      </c>
      <c r="Z179" s="6">
        <v>4127.49</v>
      </c>
      <c r="AA179" s="6">
        <v>99227.65</v>
      </c>
      <c r="AB179" s="6">
        <v>1037.0999999999999</v>
      </c>
      <c r="AC179" s="3" t="s">
        <v>230</v>
      </c>
      <c r="AD179" s="3" t="s">
        <v>59</v>
      </c>
    </row>
    <row r="180" spans="1:30">
      <c r="A180" s="2">
        <v>46100</v>
      </c>
      <c r="B180" s="3" t="s">
        <v>30</v>
      </c>
      <c r="C180" s="3" t="s">
        <v>31</v>
      </c>
      <c r="D180" s="3" t="s">
        <v>38</v>
      </c>
      <c r="E180" s="3" t="s">
        <v>33</v>
      </c>
      <c r="F180" s="3" t="s">
        <v>34</v>
      </c>
      <c r="G180" s="4">
        <v>84.8</v>
      </c>
      <c r="H180" s="4">
        <v>155.63</v>
      </c>
      <c r="I180" s="4">
        <v>163.02000000000001</v>
      </c>
      <c r="J180" s="4">
        <v>8.16</v>
      </c>
      <c r="K180" s="4">
        <v>7.88</v>
      </c>
      <c r="L180" s="4">
        <v>17.2</v>
      </c>
      <c r="M180" s="4">
        <v>14.2</v>
      </c>
      <c r="N180" s="4">
        <v>111.64</v>
      </c>
      <c r="O180" s="4">
        <v>2499.5</v>
      </c>
      <c r="P180" s="5">
        <v>4.53E-2</v>
      </c>
      <c r="Q180" s="5">
        <v>0.95469999999999999</v>
      </c>
      <c r="R180" s="5">
        <v>1.3299999999999999E-2</v>
      </c>
      <c r="S180" s="5">
        <v>1.7899999999999999E-2</v>
      </c>
      <c r="T180" s="5">
        <v>0.98</v>
      </c>
      <c r="U180" s="5">
        <v>0.97509999999999997</v>
      </c>
      <c r="V180" s="5">
        <v>1.8353999999999999</v>
      </c>
      <c r="W180" s="4">
        <v>1.3940999999999999</v>
      </c>
      <c r="X180" s="6">
        <v>108243.31</v>
      </c>
      <c r="Y180" s="6">
        <v>21210.38</v>
      </c>
      <c r="Z180" s="6">
        <v>5248.31</v>
      </c>
      <c r="AA180" s="6">
        <v>138889.31</v>
      </c>
      <c r="AB180" s="6">
        <v>892.43</v>
      </c>
      <c r="AC180" s="3" t="s">
        <v>231</v>
      </c>
      <c r="AD180" s="3" t="s">
        <v>36</v>
      </c>
    </row>
    <row r="181" spans="1:30">
      <c r="A181" s="2">
        <v>46101</v>
      </c>
      <c r="B181" s="3" t="s">
        <v>30</v>
      </c>
      <c r="C181" s="3" t="s">
        <v>37</v>
      </c>
      <c r="D181" s="3" t="s">
        <v>45</v>
      </c>
      <c r="E181" s="3" t="s">
        <v>62</v>
      </c>
      <c r="F181" s="3" t="s">
        <v>63</v>
      </c>
      <c r="G181" s="4">
        <v>142.41</v>
      </c>
      <c r="H181" s="4">
        <v>107.44</v>
      </c>
      <c r="I181" s="4">
        <v>111</v>
      </c>
      <c r="J181" s="4">
        <v>8.2799999999999994</v>
      </c>
      <c r="K181" s="4">
        <v>8.09</v>
      </c>
      <c r="L181" s="4">
        <v>11.5</v>
      </c>
      <c r="M181" s="4">
        <v>14.1</v>
      </c>
      <c r="N181" s="4">
        <v>113.73</v>
      </c>
      <c r="O181" s="4">
        <v>2005.5</v>
      </c>
      <c r="P181" s="5">
        <v>3.2099999999999997E-2</v>
      </c>
      <c r="Q181" s="5">
        <v>0.96789999999999998</v>
      </c>
      <c r="R181" s="5">
        <v>1.5299999999999999E-2</v>
      </c>
      <c r="S181" s="5">
        <v>2.01E-2</v>
      </c>
      <c r="T181" s="5">
        <v>0.73540000000000005</v>
      </c>
      <c r="U181" s="5">
        <v>0.53110000000000002</v>
      </c>
      <c r="V181" s="5">
        <v>0.75439999999999996</v>
      </c>
      <c r="W181" s="4">
        <v>0.9446</v>
      </c>
      <c r="X181" s="6">
        <v>88859.67</v>
      </c>
      <c r="Y181" s="6">
        <v>21927.84</v>
      </c>
      <c r="Z181" s="6">
        <v>4293.3900000000003</v>
      </c>
      <c r="AA181" s="6">
        <v>119449.74</v>
      </c>
      <c r="AB181" s="6">
        <v>1111.81</v>
      </c>
      <c r="AC181" s="3" t="s">
        <v>232</v>
      </c>
      <c r="AD181" s="3" t="s">
        <v>49</v>
      </c>
    </row>
    <row r="182" spans="1:30">
      <c r="A182" s="2">
        <v>46102</v>
      </c>
      <c r="B182" s="3" t="s">
        <v>30</v>
      </c>
      <c r="C182" s="3" t="s">
        <v>42</v>
      </c>
      <c r="D182" s="3" t="s">
        <v>38</v>
      </c>
      <c r="E182" s="3" t="s">
        <v>52</v>
      </c>
      <c r="F182" s="3" t="s">
        <v>47</v>
      </c>
      <c r="G182" s="4">
        <v>85.04</v>
      </c>
      <c r="H182" s="4">
        <v>103.14</v>
      </c>
      <c r="I182" s="4">
        <v>107.57</v>
      </c>
      <c r="J182" s="4">
        <v>8</v>
      </c>
      <c r="K182" s="4">
        <v>7.8</v>
      </c>
      <c r="L182" s="4">
        <v>12.5</v>
      </c>
      <c r="M182" s="4">
        <v>17.5</v>
      </c>
      <c r="N182" s="4">
        <v>136.78</v>
      </c>
      <c r="O182" s="4">
        <v>1831.6</v>
      </c>
      <c r="P182" s="5">
        <v>4.1200000000000001E-2</v>
      </c>
      <c r="Q182" s="5">
        <v>0.95879999999999999</v>
      </c>
      <c r="R182" s="5">
        <v>0.03</v>
      </c>
      <c r="S182" s="5">
        <v>1.29E-2</v>
      </c>
      <c r="T182" s="5">
        <v>0.88019999999999998</v>
      </c>
      <c r="U182" s="5">
        <v>0.88870000000000005</v>
      </c>
      <c r="V182" s="5">
        <v>1.2129000000000001</v>
      </c>
      <c r="W182" s="4">
        <v>0.75409999999999999</v>
      </c>
      <c r="X182" s="6">
        <v>79689.17</v>
      </c>
      <c r="Y182" s="6">
        <v>23787.94</v>
      </c>
      <c r="Z182" s="6">
        <v>4117.28</v>
      </c>
      <c r="AA182" s="6">
        <v>114265.11</v>
      </c>
      <c r="AB182" s="6">
        <v>1107.8399999999999</v>
      </c>
      <c r="AC182" s="3" t="s">
        <v>233</v>
      </c>
      <c r="AD182" s="3" t="s">
        <v>49</v>
      </c>
    </row>
    <row r="183" spans="1:30">
      <c r="A183" s="2">
        <v>46103</v>
      </c>
      <c r="B183" s="3" t="s">
        <v>30</v>
      </c>
      <c r="C183" s="3" t="s">
        <v>51</v>
      </c>
      <c r="D183" s="3" t="s">
        <v>45</v>
      </c>
      <c r="E183" s="3" t="s">
        <v>46</v>
      </c>
      <c r="F183" s="3" t="s">
        <v>47</v>
      </c>
      <c r="G183" s="4">
        <v>70.180000000000007</v>
      </c>
      <c r="H183" s="4">
        <v>118.69</v>
      </c>
      <c r="I183" s="4">
        <v>124.36</v>
      </c>
      <c r="J183" s="4">
        <v>8.1199999999999992</v>
      </c>
      <c r="K183" s="4">
        <v>8.0399999999999991</v>
      </c>
      <c r="L183" s="4">
        <v>4.9000000000000004</v>
      </c>
      <c r="M183" s="4">
        <v>19.100000000000001</v>
      </c>
      <c r="N183" s="4">
        <v>154</v>
      </c>
      <c r="O183" s="4">
        <v>1956.7</v>
      </c>
      <c r="P183" s="5">
        <v>4.5600000000000002E-2</v>
      </c>
      <c r="Q183" s="5">
        <v>0.95440000000000003</v>
      </c>
      <c r="R183" s="5">
        <v>2.7E-2</v>
      </c>
      <c r="S183" s="5">
        <v>1.6000000000000001E-3</v>
      </c>
      <c r="T183" s="5">
        <v>0.84440000000000004</v>
      </c>
      <c r="U183" s="5">
        <v>0.87619999999999998</v>
      </c>
      <c r="V183" s="5">
        <v>1.6911</v>
      </c>
      <c r="W183" s="4">
        <v>0.77070000000000005</v>
      </c>
      <c r="X183" s="6">
        <v>103578.32</v>
      </c>
      <c r="Y183" s="6">
        <v>22754.54</v>
      </c>
      <c r="Z183" s="6">
        <v>4361.7700000000004</v>
      </c>
      <c r="AA183" s="6">
        <v>136440.38</v>
      </c>
      <c r="AB183" s="6">
        <v>1149.5899999999999</v>
      </c>
      <c r="AC183" s="3" t="s">
        <v>234</v>
      </c>
      <c r="AD183" s="3" t="s">
        <v>59</v>
      </c>
    </row>
    <row r="184" spans="1:30">
      <c r="A184" s="2">
        <v>46104</v>
      </c>
      <c r="B184" s="3" t="s">
        <v>30</v>
      </c>
      <c r="C184" s="3" t="s">
        <v>51</v>
      </c>
      <c r="D184" s="3" t="s">
        <v>45</v>
      </c>
      <c r="E184" s="3" t="s">
        <v>46</v>
      </c>
      <c r="F184" s="3" t="s">
        <v>47</v>
      </c>
      <c r="G184" s="4">
        <v>68.84</v>
      </c>
      <c r="H184" s="4">
        <v>115.61</v>
      </c>
      <c r="I184" s="4">
        <v>122.21</v>
      </c>
      <c r="J184" s="4">
        <v>7.64</v>
      </c>
      <c r="K184" s="4">
        <v>7.46</v>
      </c>
      <c r="L184" s="4">
        <v>10.7</v>
      </c>
      <c r="M184" s="4">
        <v>16.5</v>
      </c>
      <c r="N184" s="4">
        <v>123.05</v>
      </c>
      <c r="O184" s="4">
        <v>1933.6</v>
      </c>
      <c r="P184" s="5">
        <v>5.4100000000000002E-2</v>
      </c>
      <c r="Q184" s="5">
        <v>0.94589999999999996</v>
      </c>
      <c r="R184" s="5">
        <v>3.7000000000000002E-3</v>
      </c>
      <c r="S184" s="5">
        <v>1.4999999999999999E-2</v>
      </c>
      <c r="T184" s="5">
        <v>0.78090000000000004</v>
      </c>
      <c r="U184" s="5">
        <v>0.78890000000000005</v>
      </c>
      <c r="V184" s="5">
        <v>1.6793</v>
      </c>
      <c r="W184" s="4">
        <v>0.9395</v>
      </c>
      <c r="X184" s="6">
        <v>104663.73</v>
      </c>
      <c r="Y184" s="6">
        <v>21421.57</v>
      </c>
      <c r="Z184" s="6">
        <v>4462.95</v>
      </c>
      <c r="AA184" s="6">
        <v>136522.47</v>
      </c>
      <c r="AB184" s="6">
        <v>1180.94</v>
      </c>
      <c r="AC184" s="3" t="s">
        <v>235</v>
      </c>
      <c r="AD184" s="3" t="s">
        <v>36</v>
      </c>
    </row>
    <row r="185" spans="1:30">
      <c r="A185" s="2">
        <v>46105</v>
      </c>
      <c r="B185" s="3" t="s">
        <v>30</v>
      </c>
      <c r="C185" s="3" t="s">
        <v>42</v>
      </c>
      <c r="D185" s="3" t="s">
        <v>32</v>
      </c>
      <c r="E185" s="3" t="s">
        <v>43</v>
      </c>
      <c r="F185" s="3" t="s">
        <v>40</v>
      </c>
      <c r="G185" s="4">
        <v>107.42</v>
      </c>
      <c r="H185" s="4">
        <v>117.14</v>
      </c>
      <c r="I185" s="4">
        <v>123.46</v>
      </c>
      <c r="J185" s="4">
        <v>7.54</v>
      </c>
      <c r="K185" s="4">
        <v>7.52</v>
      </c>
      <c r="L185" s="4">
        <v>1.3</v>
      </c>
      <c r="M185" s="4">
        <v>13.3</v>
      </c>
      <c r="N185" s="4">
        <v>99.87</v>
      </c>
      <c r="O185" s="4">
        <v>2102.1</v>
      </c>
      <c r="P185" s="5">
        <v>5.1200000000000002E-2</v>
      </c>
      <c r="Q185" s="5">
        <v>0.94879999999999998</v>
      </c>
      <c r="R185" s="5">
        <v>3.5000000000000003E-2</v>
      </c>
      <c r="S185" s="5">
        <v>1E-3</v>
      </c>
      <c r="T185" s="5">
        <v>0.89190000000000003</v>
      </c>
      <c r="U185" s="5">
        <v>0.93279999999999996</v>
      </c>
      <c r="V185" s="5">
        <v>1.0905</v>
      </c>
      <c r="W185" s="4">
        <v>1.173</v>
      </c>
      <c r="X185" s="6">
        <v>81693.350000000006</v>
      </c>
      <c r="Y185" s="6">
        <v>15459.67</v>
      </c>
      <c r="Z185" s="6">
        <v>4727.1099999999997</v>
      </c>
      <c r="AA185" s="6">
        <v>104519.53</v>
      </c>
      <c r="AB185" s="6">
        <v>892.28</v>
      </c>
      <c r="AC185" s="3" t="s">
        <v>236</v>
      </c>
      <c r="AD185" s="3" t="s">
        <v>36</v>
      </c>
    </row>
    <row r="186" spans="1:30">
      <c r="A186" s="2">
        <v>46106</v>
      </c>
      <c r="B186" s="3" t="s">
        <v>30</v>
      </c>
      <c r="C186" s="3" t="s">
        <v>31</v>
      </c>
      <c r="D186" s="3" t="s">
        <v>38</v>
      </c>
      <c r="E186" s="3" t="s">
        <v>52</v>
      </c>
      <c r="F186" s="3" t="s">
        <v>47</v>
      </c>
      <c r="G186" s="4">
        <v>148.97</v>
      </c>
      <c r="H186" s="4">
        <v>100.63</v>
      </c>
      <c r="I186" s="4">
        <v>106.45</v>
      </c>
      <c r="J186" s="4">
        <v>7.79</v>
      </c>
      <c r="K186" s="4">
        <v>7.56</v>
      </c>
      <c r="L186" s="4">
        <v>13.3</v>
      </c>
      <c r="M186" s="4">
        <v>11.9</v>
      </c>
      <c r="N186" s="4">
        <v>89.98</v>
      </c>
      <c r="O186" s="4">
        <v>1740.4</v>
      </c>
      <c r="P186" s="5">
        <v>5.4699999999999999E-2</v>
      </c>
      <c r="Q186" s="5">
        <v>0.94530000000000003</v>
      </c>
      <c r="R186" s="5">
        <v>3.9E-2</v>
      </c>
      <c r="S186" s="5">
        <v>5.8999999999999999E-3</v>
      </c>
      <c r="T186" s="5">
        <v>0.84399999999999997</v>
      </c>
      <c r="U186" s="5">
        <v>0.55059999999999998</v>
      </c>
      <c r="V186" s="5">
        <v>0.67549999999999999</v>
      </c>
      <c r="W186" s="4">
        <v>1.1183000000000001</v>
      </c>
      <c r="X186" s="6">
        <v>82693.36</v>
      </c>
      <c r="Y186" s="6">
        <v>17095.419999999998</v>
      </c>
      <c r="Z186" s="6">
        <v>4655.3599999999997</v>
      </c>
      <c r="AA186" s="6">
        <v>108479.76</v>
      </c>
      <c r="AB186" s="6">
        <v>1078</v>
      </c>
      <c r="AC186" s="3" t="s">
        <v>237</v>
      </c>
      <c r="AD186" s="3" t="s">
        <v>36</v>
      </c>
    </row>
    <row r="187" spans="1:30">
      <c r="A187" s="2">
        <v>46107</v>
      </c>
      <c r="B187" s="3" t="s">
        <v>30</v>
      </c>
      <c r="C187" s="3" t="s">
        <v>37</v>
      </c>
      <c r="D187" s="3" t="s">
        <v>38</v>
      </c>
      <c r="E187" s="3" t="s">
        <v>43</v>
      </c>
      <c r="F187" s="3" t="s">
        <v>40</v>
      </c>
      <c r="G187" s="4">
        <v>61.12</v>
      </c>
      <c r="H187" s="4">
        <v>116.32</v>
      </c>
      <c r="I187" s="4">
        <v>120.32</v>
      </c>
      <c r="J187" s="4">
        <v>7.82</v>
      </c>
      <c r="K187" s="4">
        <v>7.38</v>
      </c>
      <c r="L187" s="4">
        <v>26.2</v>
      </c>
      <c r="M187" s="4">
        <v>18.100000000000001</v>
      </c>
      <c r="N187" s="4">
        <v>133.44</v>
      </c>
      <c r="O187" s="4">
        <v>2009.3</v>
      </c>
      <c r="P187" s="5">
        <v>3.32E-2</v>
      </c>
      <c r="Q187" s="5">
        <v>0.96679999999999999</v>
      </c>
      <c r="R187" s="5">
        <v>3.78E-2</v>
      </c>
      <c r="S187" s="5">
        <v>1.15E-2</v>
      </c>
      <c r="T187" s="5">
        <v>0.75790000000000002</v>
      </c>
      <c r="U187" s="5">
        <v>0.74270000000000003</v>
      </c>
      <c r="V187" s="5">
        <v>1.9032</v>
      </c>
      <c r="W187" s="4">
        <v>0.87170000000000003</v>
      </c>
      <c r="X187" s="6">
        <v>90464.29</v>
      </c>
      <c r="Y187" s="6">
        <v>19527.38</v>
      </c>
      <c r="Z187" s="6">
        <v>5127.1899999999996</v>
      </c>
      <c r="AA187" s="6">
        <v>120014.35</v>
      </c>
      <c r="AB187" s="6">
        <v>1031.72</v>
      </c>
      <c r="AC187" s="3" t="s">
        <v>238</v>
      </c>
      <c r="AD187" s="3" t="s">
        <v>36</v>
      </c>
    </row>
    <row r="188" spans="1:30">
      <c r="A188" s="2">
        <v>46108</v>
      </c>
      <c r="B188" s="3" t="s">
        <v>30</v>
      </c>
      <c r="C188" s="3" t="s">
        <v>31</v>
      </c>
      <c r="D188" s="3" t="s">
        <v>38</v>
      </c>
      <c r="E188" s="3" t="s">
        <v>39</v>
      </c>
      <c r="F188" s="3" t="s">
        <v>40</v>
      </c>
      <c r="G188" s="4">
        <v>128.88999999999999</v>
      </c>
      <c r="H188" s="4">
        <v>115.07</v>
      </c>
      <c r="I188" s="4">
        <v>120.72</v>
      </c>
      <c r="J188" s="4">
        <v>7.55</v>
      </c>
      <c r="K188" s="4">
        <v>7.03</v>
      </c>
      <c r="L188" s="4">
        <v>31.6</v>
      </c>
      <c r="M188" s="4">
        <v>12.5</v>
      </c>
      <c r="N188" s="4">
        <v>88.05</v>
      </c>
      <c r="O188" s="4">
        <v>2139</v>
      </c>
      <c r="P188" s="5">
        <v>4.6800000000000001E-2</v>
      </c>
      <c r="Q188" s="5">
        <v>0.95320000000000005</v>
      </c>
      <c r="R188" s="5">
        <v>3.5099999999999999E-2</v>
      </c>
      <c r="S188" s="5">
        <v>2.41E-2</v>
      </c>
      <c r="T188" s="5">
        <v>0.80840000000000001</v>
      </c>
      <c r="U188" s="5">
        <v>0.6552</v>
      </c>
      <c r="V188" s="5">
        <v>0.89280000000000004</v>
      </c>
      <c r="W188" s="4">
        <v>1.3069999999999999</v>
      </c>
      <c r="X188" s="6">
        <v>103252.7</v>
      </c>
      <c r="Y188" s="6">
        <v>13841.83</v>
      </c>
      <c r="Z188" s="6">
        <v>5935.7</v>
      </c>
      <c r="AA188" s="6">
        <v>127370.68</v>
      </c>
      <c r="AB188" s="6">
        <v>1106.8800000000001</v>
      </c>
      <c r="AC188" s="3" t="s">
        <v>239</v>
      </c>
      <c r="AD188" s="3" t="s">
        <v>59</v>
      </c>
    </row>
    <row r="189" spans="1:30">
      <c r="A189" s="2">
        <v>46109</v>
      </c>
      <c r="B189" s="3" t="s">
        <v>30</v>
      </c>
      <c r="C189" s="3" t="s">
        <v>42</v>
      </c>
      <c r="D189" s="3" t="s">
        <v>32</v>
      </c>
      <c r="E189" s="3" t="s">
        <v>33</v>
      </c>
      <c r="F189" s="3" t="s">
        <v>34</v>
      </c>
      <c r="G189" s="4">
        <v>63.3</v>
      </c>
      <c r="H189" s="4">
        <v>121.22</v>
      </c>
      <c r="I189" s="4">
        <v>130.54</v>
      </c>
      <c r="J189" s="4">
        <v>7.93</v>
      </c>
      <c r="K189" s="4">
        <v>7.66</v>
      </c>
      <c r="L189" s="4">
        <v>16.3</v>
      </c>
      <c r="M189" s="4">
        <v>14.6</v>
      </c>
      <c r="N189" s="4">
        <v>111.79</v>
      </c>
      <c r="O189" s="4">
        <v>2220.4</v>
      </c>
      <c r="P189" s="5">
        <v>7.1400000000000005E-2</v>
      </c>
      <c r="Q189" s="5">
        <v>0.92859999999999998</v>
      </c>
      <c r="R189" s="5">
        <v>2.0899999999999998E-2</v>
      </c>
      <c r="S189" s="5">
        <v>1.43E-2</v>
      </c>
      <c r="T189" s="5">
        <v>0.76629999999999998</v>
      </c>
      <c r="U189" s="5">
        <v>0.76590000000000003</v>
      </c>
      <c r="V189" s="5">
        <v>1.9149</v>
      </c>
      <c r="W189" s="4">
        <v>1.0843</v>
      </c>
      <c r="X189" s="6">
        <v>92035.86</v>
      </c>
      <c r="Y189" s="6">
        <v>18489.54</v>
      </c>
      <c r="Z189" s="6">
        <v>5614.48</v>
      </c>
      <c r="AA189" s="6">
        <v>122043.09</v>
      </c>
      <c r="AB189" s="6">
        <v>1006.81</v>
      </c>
      <c r="AC189" s="3" t="s">
        <v>240</v>
      </c>
      <c r="AD189" s="3" t="s">
        <v>36</v>
      </c>
    </row>
    <row r="190" spans="1:30">
      <c r="A190" s="2">
        <v>46110</v>
      </c>
      <c r="B190" s="3" t="s">
        <v>30</v>
      </c>
      <c r="C190" s="3" t="s">
        <v>31</v>
      </c>
      <c r="D190" s="3" t="s">
        <v>32</v>
      </c>
      <c r="E190" s="3" t="s">
        <v>39</v>
      </c>
      <c r="F190" s="3" t="s">
        <v>40</v>
      </c>
      <c r="G190" s="4">
        <v>144.47999999999999</v>
      </c>
      <c r="H190" s="4">
        <v>123.65</v>
      </c>
      <c r="I190" s="4">
        <v>126.98</v>
      </c>
      <c r="J190" s="4">
        <v>7.95</v>
      </c>
      <c r="K190" s="4">
        <v>7.8</v>
      </c>
      <c r="L190" s="4">
        <v>9</v>
      </c>
      <c r="M190" s="4">
        <v>13.8</v>
      </c>
      <c r="N190" s="4">
        <v>107.4</v>
      </c>
      <c r="O190" s="4">
        <v>2152.6</v>
      </c>
      <c r="P190" s="5">
        <v>2.6200000000000001E-2</v>
      </c>
      <c r="Q190" s="5">
        <v>0.9738</v>
      </c>
      <c r="R190" s="5">
        <v>2E-3</v>
      </c>
      <c r="S190" s="5">
        <v>1.5900000000000001E-2</v>
      </c>
      <c r="T190" s="5">
        <v>0.98</v>
      </c>
      <c r="U190" s="5">
        <v>0.80979999999999996</v>
      </c>
      <c r="V190" s="5">
        <v>0.85580000000000001</v>
      </c>
      <c r="W190" s="4">
        <v>1.1513</v>
      </c>
      <c r="X190" s="6">
        <v>80110.36</v>
      </c>
      <c r="Y190" s="6">
        <v>17229.23</v>
      </c>
      <c r="Z190" s="6">
        <v>5657.1</v>
      </c>
      <c r="AA190" s="6">
        <v>106533.63</v>
      </c>
      <c r="AB190" s="6">
        <v>861.61</v>
      </c>
      <c r="AC190" s="3" t="s">
        <v>241</v>
      </c>
      <c r="AD190" s="3" t="s">
        <v>59</v>
      </c>
    </row>
    <row r="191" spans="1:30">
      <c r="A191" s="2">
        <v>46111</v>
      </c>
      <c r="B191" s="3" t="s">
        <v>30</v>
      </c>
      <c r="C191" s="3" t="s">
        <v>42</v>
      </c>
      <c r="D191" s="3" t="s">
        <v>32</v>
      </c>
      <c r="E191" s="3" t="s">
        <v>43</v>
      </c>
      <c r="F191" s="3" t="s">
        <v>40</v>
      </c>
      <c r="G191" s="4">
        <v>115.68</v>
      </c>
      <c r="H191" s="4">
        <v>147.76</v>
      </c>
      <c r="I191" s="4">
        <v>152.59</v>
      </c>
      <c r="J191" s="4">
        <v>7.45</v>
      </c>
      <c r="K191" s="4">
        <v>7.38</v>
      </c>
      <c r="L191" s="4">
        <v>4.4000000000000004</v>
      </c>
      <c r="M191" s="4">
        <v>15.3</v>
      </c>
      <c r="N191" s="4">
        <v>112.72</v>
      </c>
      <c r="O191" s="4">
        <v>2395.8000000000002</v>
      </c>
      <c r="P191" s="5">
        <v>3.1600000000000003E-2</v>
      </c>
      <c r="Q191" s="5">
        <v>0.96840000000000004</v>
      </c>
      <c r="R191" s="5">
        <v>1.6199999999999999E-2</v>
      </c>
      <c r="S191" s="5">
        <v>4.0000000000000001E-3</v>
      </c>
      <c r="T191" s="5">
        <v>0.87139999999999995</v>
      </c>
      <c r="U191" s="5">
        <v>0.90229999999999999</v>
      </c>
      <c r="V191" s="5">
        <v>1.2773000000000001</v>
      </c>
      <c r="W191" s="4">
        <v>1.3109</v>
      </c>
      <c r="X191" s="6">
        <v>107087.16</v>
      </c>
      <c r="Y191" s="6">
        <v>19329.05</v>
      </c>
      <c r="Z191" s="6">
        <v>5490.19</v>
      </c>
      <c r="AA191" s="6">
        <v>136595.79</v>
      </c>
      <c r="AB191" s="6">
        <v>924.44</v>
      </c>
      <c r="AC191" s="3" t="s">
        <v>242</v>
      </c>
      <c r="AD191" s="3" t="s">
        <v>36</v>
      </c>
    </row>
    <row r="192" spans="1:30">
      <c r="A192" s="2">
        <v>46112</v>
      </c>
      <c r="B192" s="3" t="s">
        <v>30</v>
      </c>
      <c r="C192" s="3" t="s">
        <v>37</v>
      </c>
      <c r="D192" s="3" t="s">
        <v>45</v>
      </c>
      <c r="E192" s="3" t="s">
        <v>39</v>
      </c>
      <c r="F192" s="3" t="s">
        <v>40</v>
      </c>
      <c r="G192" s="4">
        <v>143.4</v>
      </c>
      <c r="H192" s="4">
        <v>111.3</v>
      </c>
      <c r="I192" s="4">
        <v>115.31</v>
      </c>
      <c r="J192" s="4">
        <v>8.07</v>
      </c>
      <c r="K192" s="4">
        <v>7.79</v>
      </c>
      <c r="L192" s="4">
        <v>16.899999999999999</v>
      </c>
      <c r="M192" s="4">
        <v>10</v>
      </c>
      <c r="N192" s="4">
        <v>77.930000000000007</v>
      </c>
      <c r="O192" s="4">
        <v>2067.1999999999998</v>
      </c>
      <c r="P192" s="5">
        <v>3.4799999999999998E-2</v>
      </c>
      <c r="Q192" s="5">
        <v>0.96519999999999995</v>
      </c>
      <c r="R192" s="5">
        <v>1.7399999999999999E-2</v>
      </c>
      <c r="S192" s="5">
        <v>1.3299999999999999E-2</v>
      </c>
      <c r="T192" s="5">
        <v>0.89770000000000005</v>
      </c>
      <c r="U192" s="5">
        <v>0.66349999999999998</v>
      </c>
      <c r="V192" s="5">
        <v>0.7762</v>
      </c>
      <c r="W192" s="4">
        <v>1.4280999999999999</v>
      </c>
      <c r="X192" s="6">
        <v>99903.06</v>
      </c>
      <c r="Y192" s="6">
        <v>15169.43</v>
      </c>
      <c r="Z192" s="6">
        <v>4627.32</v>
      </c>
      <c r="AA192" s="6">
        <v>123475.03</v>
      </c>
      <c r="AB192" s="6">
        <v>1109.4100000000001</v>
      </c>
      <c r="AC192" s="3" t="s">
        <v>243</v>
      </c>
      <c r="AD192" s="3" t="s">
        <v>36</v>
      </c>
    </row>
    <row r="193" spans="1:30">
      <c r="A193" s="2">
        <v>46113</v>
      </c>
      <c r="B193" s="3" t="s">
        <v>30</v>
      </c>
      <c r="C193" s="3" t="s">
        <v>37</v>
      </c>
      <c r="D193" s="3" t="s">
        <v>32</v>
      </c>
      <c r="E193" s="3" t="s">
        <v>62</v>
      </c>
      <c r="F193" s="3" t="s">
        <v>63</v>
      </c>
      <c r="G193" s="4">
        <v>112.33</v>
      </c>
      <c r="H193" s="4">
        <v>133.44</v>
      </c>
      <c r="I193" s="4">
        <v>141.4</v>
      </c>
      <c r="J193" s="4">
        <v>7.87</v>
      </c>
      <c r="K193" s="4">
        <v>7.75</v>
      </c>
      <c r="L193" s="4">
        <v>6.9</v>
      </c>
      <c r="M193" s="4">
        <v>17.100000000000001</v>
      </c>
      <c r="N193" s="4">
        <v>132.91999999999999</v>
      </c>
      <c r="O193" s="4">
        <v>2121</v>
      </c>
      <c r="P193" s="5">
        <v>5.6300000000000003E-2</v>
      </c>
      <c r="Q193" s="5">
        <v>0.94369999999999998</v>
      </c>
      <c r="R193" s="5">
        <v>3.3399999999999999E-2</v>
      </c>
      <c r="S193" s="5">
        <v>1.03E-2</v>
      </c>
      <c r="T193" s="5">
        <v>0.82350000000000001</v>
      </c>
      <c r="U193" s="5">
        <v>0.84330000000000005</v>
      </c>
      <c r="V193" s="5">
        <v>1.1879999999999999</v>
      </c>
      <c r="W193" s="4">
        <v>1.0039</v>
      </c>
      <c r="X193" s="6">
        <v>111117.15</v>
      </c>
      <c r="Y193" s="6">
        <v>20294.990000000002</v>
      </c>
      <c r="Z193" s="6">
        <v>4471.28</v>
      </c>
      <c r="AA193" s="6">
        <v>140390.25</v>
      </c>
      <c r="AB193" s="6">
        <v>1052.05</v>
      </c>
      <c r="AC193" s="3" t="s">
        <v>244</v>
      </c>
      <c r="AD193" s="3" t="s">
        <v>36</v>
      </c>
    </row>
    <row r="194" spans="1:30">
      <c r="A194" s="2">
        <v>46114</v>
      </c>
      <c r="B194" s="3" t="s">
        <v>30</v>
      </c>
      <c r="C194" s="3" t="s">
        <v>51</v>
      </c>
      <c r="D194" s="3" t="s">
        <v>32</v>
      </c>
      <c r="E194" s="3" t="s">
        <v>39</v>
      </c>
      <c r="F194" s="3" t="s">
        <v>40</v>
      </c>
      <c r="G194" s="4">
        <v>124.59</v>
      </c>
      <c r="H194" s="4">
        <v>138.84</v>
      </c>
      <c r="I194" s="4">
        <v>143.58000000000001</v>
      </c>
      <c r="J194" s="4">
        <v>7.94</v>
      </c>
      <c r="K194" s="4">
        <v>7.68</v>
      </c>
      <c r="L194" s="4">
        <v>15.5</v>
      </c>
      <c r="M194" s="4">
        <v>18.7</v>
      </c>
      <c r="N194" s="4">
        <v>143.68</v>
      </c>
      <c r="O194" s="4">
        <v>2357.1999999999998</v>
      </c>
      <c r="P194" s="5">
        <v>3.3000000000000002E-2</v>
      </c>
      <c r="Q194" s="5">
        <v>0.96699999999999997</v>
      </c>
      <c r="R194" s="5">
        <v>1.0800000000000001E-2</v>
      </c>
      <c r="S194" s="5">
        <v>1.6E-2</v>
      </c>
      <c r="T194" s="5">
        <v>0.77659999999999996</v>
      </c>
      <c r="U194" s="5">
        <v>0.77629999999999999</v>
      </c>
      <c r="V194" s="5">
        <v>1.1144000000000001</v>
      </c>
      <c r="W194" s="4">
        <v>0.96630000000000005</v>
      </c>
      <c r="X194" s="6">
        <v>102020.82</v>
      </c>
      <c r="Y194" s="6">
        <v>27912.91</v>
      </c>
      <c r="Z194" s="6">
        <v>4999.82</v>
      </c>
      <c r="AA194" s="6">
        <v>139121.15</v>
      </c>
      <c r="AB194" s="6">
        <v>1002.01</v>
      </c>
      <c r="AC194" s="3" t="s">
        <v>245</v>
      </c>
      <c r="AD194" s="3" t="s">
        <v>36</v>
      </c>
    </row>
    <row r="195" spans="1:30">
      <c r="A195" s="2">
        <v>46115</v>
      </c>
      <c r="B195" s="3" t="s">
        <v>30</v>
      </c>
      <c r="C195" s="3" t="s">
        <v>42</v>
      </c>
      <c r="D195" s="3" t="s">
        <v>32</v>
      </c>
      <c r="E195" s="3" t="s">
        <v>33</v>
      </c>
      <c r="F195" s="3" t="s">
        <v>34</v>
      </c>
      <c r="G195" s="4">
        <v>93.28</v>
      </c>
      <c r="H195" s="4">
        <v>127.01</v>
      </c>
      <c r="I195" s="4">
        <v>134.19</v>
      </c>
      <c r="J195" s="4">
        <v>8</v>
      </c>
      <c r="K195" s="4">
        <v>7.88</v>
      </c>
      <c r="L195" s="4">
        <v>7.4</v>
      </c>
      <c r="M195" s="4">
        <v>17.100000000000001</v>
      </c>
      <c r="N195" s="4">
        <v>134.44</v>
      </c>
      <c r="O195" s="4">
        <v>2147.6</v>
      </c>
      <c r="P195" s="5">
        <v>5.3499999999999999E-2</v>
      </c>
      <c r="Q195" s="5">
        <v>0.94650000000000001</v>
      </c>
      <c r="R195" s="5">
        <v>3.5099999999999999E-2</v>
      </c>
      <c r="S195" s="5">
        <v>1.0200000000000001E-2</v>
      </c>
      <c r="T195" s="5">
        <v>0.94640000000000002</v>
      </c>
      <c r="U195" s="5">
        <v>0.96850000000000003</v>
      </c>
      <c r="V195" s="5">
        <v>1.3614999999999999</v>
      </c>
      <c r="W195" s="4">
        <v>0.94469999999999998</v>
      </c>
      <c r="X195" s="6">
        <v>90484.73</v>
      </c>
      <c r="Y195" s="6">
        <v>22785.33</v>
      </c>
      <c r="Z195" s="6">
        <v>5400.01</v>
      </c>
      <c r="AA195" s="6">
        <v>121467.21</v>
      </c>
      <c r="AB195" s="6">
        <v>956.38</v>
      </c>
      <c r="AC195" s="3" t="s">
        <v>246</v>
      </c>
      <c r="AD195" s="3" t="s">
        <v>36</v>
      </c>
    </row>
    <row r="196" spans="1:30">
      <c r="A196" s="2">
        <v>46116</v>
      </c>
      <c r="B196" s="3" t="s">
        <v>30</v>
      </c>
      <c r="C196" s="3" t="s">
        <v>37</v>
      </c>
      <c r="D196" s="3" t="s">
        <v>32</v>
      </c>
      <c r="E196" s="3" t="s">
        <v>43</v>
      </c>
      <c r="F196" s="3" t="s">
        <v>40</v>
      </c>
      <c r="G196" s="4">
        <v>95</v>
      </c>
      <c r="H196" s="4">
        <v>92.12</v>
      </c>
      <c r="I196" s="4">
        <v>94.57</v>
      </c>
      <c r="J196" s="4">
        <v>7.4</v>
      </c>
      <c r="K196" s="4">
        <v>7.14</v>
      </c>
      <c r="L196" s="4">
        <v>15.9</v>
      </c>
      <c r="M196" s="4">
        <v>13.7</v>
      </c>
      <c r="N196" s="4">
        <v>97.83</v>
      </c>
      <c r="O196" s="4">
        <v>1672.1</v>
      </c>
      <c r="P196" s="5">
        <v>2.58E-2</v>
      </c>
      <c r="Q196" s="5">
        <v>0.97419999999999995</v>
      </c>
      <c r="R196" s="5">
        <v>2.4199999999999999E-2</v>
      </c>
      <c r="S196" s="5">
        <v>8.0000000000000002E-3</v>
      </c>
      <c r="T196" s="5">
        <v>0.93730000000000002</v>
      </c>
      <c r="U196" s="5">
        <v>0.86950000000000005</v>
      </c>
      <c r="V196" s="5">
        <v>0.96970000000000001</v>
      </c>
      <c r="W196" s="4">
        <v>0.94159999999999999</v>
      </c>
      <c r="X196" s="6">
        <v>82669.73</v>
      </c>
      <c r="Y196" s="6">
        <v>14382.77</v>
      </c>
      <c r="Z196" s="6">
        <v>4130.71</v>
      </c>
      <c r="AA196" s="6">
        <v>105392.88</v>
      </c>
      <c r="AB196" s="6">
        <v>1144.05</v>
      </c>
      <c r="AC196" s="3" t="s">
        <v>247</v>
      </c>
      <c r="AD196" s="3" t="s">
        <v>36</v>
      </c>
    </row>
    <row r="197" spans="1:30">
      <c r="A197" s="2">
        <v>46117</v>
      </c>
      <c r="B197" s="3" t="s">
        <v>30</v>
      </c>
      <c r="C197" s="3" t="s">
        <v>31</v>
      </c>
      <c r="D197" s="3" t="s">
        <v>38</v>
      </c>
      <c r="E197" s="3" t="s">
        <v>46</v>
      </c>
      <c r="F197" s="3" t="s">
        <v>47</v>
      </c>
      <c r="G197" s="4">
        <v>149.22</v>
      </c>
      <c r="H197" s="4">
        <v>125.18</v>
      </c>
      <c r="I197" s="4">
        <v>131.81</v>
      </c>
      <c r="J197" s="4">
        <v>8</v>
      </c>
      <c r="K197" s="4">
        <v>7.73</v>
      </c>
      <c r="L197" s="4">
        <v>16.100000000000001</v>
      </c>
      <c r="M197" s="4">
        <v>13</v>
      </c>
      <c r="N197" s="4">
        <v>100.18</v>
      </c>
      <c r="O197" s="4">
        <v>2295.6</v>
      </c>
      <c r="P197" s="5">
        <v>5.0299999999999997E-2</v>
      </c>
      <c r="Q197" s="5">
        <v>0.94969999999999999</v>
      </c>
      <c r="R197" s="5">
        <v>4.58E-2</v>
      </c>
      <c r="S197" s="5">
        <v>1.47E-2</v>
      </c>
      <c r="T197" s="5">
        <v>0.80059999999999998</v>
      </c>
      <c r="U197" s="5">
        <v>0.63949999999999996</v>
      </c>
      <c r="V197" s="5">
        <v>0.83889999999999998</v>
      </c>
      <c r="W197" s="4">
        <v>1.2495000000000001</v>
      </c>
      <c r="X197" s="6">
        <v>92732.64</v>
      </c>
      <c r="Y197" s="6">
        <v>18603.96</v>
      </c>
      <c r="Z197" s="6">
        <v>5153.9399999999996</v>
      </c>
      <c r="AA197" s="6">
        <v>123043.47</v>
      </c>
      <c r="AB197" s="6">
        <v>982.93</v>
      </c>
      <c r="AC197" s="3" t="s">
        <v>248</v>
      </c>
      <c r="AD197" s="3" t="s">
        <v>75</v>
      </c>
    </row>
    <row r="198" spans="1:30">
      <c r="A198" s="2">
        <v>46118</v>
      </c>
      <c r="B198" s="3" t="s">
        <v>30</v>
      </c>
      <c r="C198" s="3" t="s">
        <v>51</v>
      </c>
      <c r="D198" s="3" t="s">
        <v>38</v>
      </c>
      <c r="E198" s="3" t="s">
        <v>46</v>
      </c>
      <c r="F198" s="3" t="s">
        <v>47</v>
      </c>
      <c r="G198" s="4">
        <v>111.34</v>
      </c>
      <c r="H198" s="4">
        <v>118.37</v>
      </c>
      <c r="I198" s="4">
        <v>123.34</v>
      </c>
      <c r="J198" s="4">
        <v>7.27</v>
      </c>
      <c r="K198" s="4">
        <v>6.79</v>
      </c>
      <c r="L198" s="4">
        <v>29.2</v>
      </c>
      <c r="M198" s="4">
        <v>20.2</v>
      </c>
      <c r="N198" s="4">
        <v>137.35</v>
      </c>
      <c r="O198" s="4">
        <v>2100.1999999999998</v>
      </c>
      <c r="P198" s="5">
        <v>4.02E-2</v>
      </c>
      <c r="Q198" s="5">
        <v>0.95979999999999999</v>
      </c>
      <c r="R198" s="5">
        <v>5.3699999999999998E-2</v>
      </c>
      <c r="S198" s="5">
        <v>2.1299999999999999E-2</v>
      </c>
      <c r="T198" s="5">
        <v>0.82410000000000005</v>
      </c>
      <c r="U198" s="5">
        <v>0.79020000000000001</v>
      </c>
      <c r="V198" s="5">
        <v>1.0631999999999999</v>
      </c>
      <c r="W198" s="4">
        <v>0.86180000000000001</v>
      </c>
      <c r="X198" s="6">
        <v>99049.45</v>
      </c>
      <c r="Y198" s="6">
        <v>25151.119999999999</v>
      </c>
      <c r="Z198" s="6">
        <v>5412.36</v>
      </c>
      <c r="AA198" s="6">
        <v>132640.82999999999</v>
      </c>
      <c r="AB198" s="6">
        <v>1120.53</v>
      </c>
      <c r="AC198" s="3" t="s">
        <v>249</v>
      </c>
      <c r="AD198" s="3" t="s">
        <v>49</v>
      </c>
    </row>
    <row r="199" spans="1:30">
      <c r="A199" s="2">
        <v>46119</v>
      </c>
      <c r="B199" s="3" t="s">
        <v>30</v>
      </c>
      <c r="C199" s="3" t="s">
        <v>51</v>
      </c>
      <c r="D199" s="3" t="s">
        <v>45</v>
      </c>
      <c r="E199" s="3" t="s">
        <v>43</v>
      </c>
      <c r="F199" s="3" t="s">
        <v>40</v>
      </c>
      <c r="G199" s="4">
        <v>137.34</v>
      </c>
      <c r="H199" s="4">
        <v>128.87</v>
      </c>
      <c r="I199" s="4">
        <v>136.02000000000001</v>
      </c>
      <c r="J199" s="4">
        <v>7.59</v>
      </c>
      <c r="K199" s="4">
        <v>7.43</v>
      </c>
      <c r="L199" s="4">
        <v>9.4</v>
      </c>
      <c r="M199" s="4">
        <v>21</v>
      </c>
      <c r="N199" s="4">
        <v>156.41999999999999</v>
      </c>
      <c r="O199" s="4">
        <v>2005.2</v>
      </c>
      <c r="P199" s="5">
        <v>5.2600000000000001E-2</v>
      </c>
      <c r="Q199" s="5">
        <v>0.94740000000000002</v>
      </c>
      <c r="R199" s="5">
        <v>2.06E-2</v>
      </c>
      <c r="S199" s="5">
        <v>1.55E-2</v>
      </c>
      <c r="T199" s="5">
        <v>0.90069999999999995</v>
      </c>
      <c r="U199" s="5">
        <v>0.81479999999999997</v>
      </c>
      <c r="V199" s="5">
        <v>0.93830000000000002</v>
      </c>
      <c r="W199" s="4">
        <v>0.82389999999999997</v>
      </c>
      <c r="X199" s="6">
        <v>85987.25</v>
      </c>
      <c r="Y199" s="6">
        <v>27161.62</v>
      </c>
      <c r="Z199" s="6">
        <v>5091.6499999999996</v>
      </c>
      <c r="AA199" s="6">
        <v>123140.97</v>
      </c>
      <c r="AB199" s="6">
        <v>955.56</v>
      </c>
      <c r="AC199" s="3" t="s">
        <v>250</v>
      </c>
      <c r="AD199" s="3" t="s">
        <v>59</v>
      </c>
    </row>
    <row r="200" spans="1:30">
      <c r="A200" s="2">
        <v>46120</v>
      </c>
      <c r="B200" s="3" t="s">
        <v>30</v>
      </c>
      <c r="C200" s="3" t="s">
        <v>31</v>
      </c>
      <c r="D200" s="3" t="s">
        <v>32</v>
      </c>
      <c r="E200" s="3" t="s">
        <v>39</v>
      </c>
      <c r="F200" s="3" t="s">
        <v>40</v>
      </c>
      <c r="G200" s="4">
        <v>115.53</v>
      </c>
      <c r="H200" s="4">
        <v>82.78</v>
      </c>
      <c r="I200" s="4">
        <v>86.85</v>
      </c>
      <c r="J200" s="4">
        <v>7.52</v>
      </c>
      <c r="K200" s="4">
        <v>7.42</v>
      </c>
      <c r="L200" s="4">
        <v>6.4</v>
      </c>
      <c r="M200" s="4">
        <v>12.6</v>
      </c>
      <c r="N200" s="4">
        <v>93.62</v>
      </c>
      <c r="O200" s="4">
        <v>1590.6</v>
      </c>
      <c r="P200" s="5">
        <v>4.6899999999999997E-2</v>
      </c>
      <c r="Q200" s="5">
        <v>0.95309999999999995</v>
      </c>
      <c r="R200" s="5">
        <v>6.7999999999999996E-3</v>
      </c>
      <c r="S200" s="5">
        <v>2.1299999999999999E-2</v>
      </c>
      <c r="T200" s="5">
        <v>0.83130000000000004</v>
      </c>
      <c r="U200" s="5">
        <v>0.5746</v>
      </c>
      <c r="V200" s="5">
        <v>0.71650000000000003</v>
      </c>
      <c r="W200" s="4">
        <v>0.8841</v>
      </c>
      <c r="X200" s="6">
        <v>57216.68</v>
      </c>
      <c r="Y200" s="6">
        <v>15125.52</v>
      </c>
      <c r="Z200" s="6">
        <v>4323.68</v>
      </c>
      <c r="AA200" s="6">
        <v>81241.89</v>
      </c>
      <c r="AB200" s="6">
        <v>981.47</v>
      </c>
      <c r="AC200" s="3" t="s">
        <v>251</v>
      </c>
      <c r="AD200" s="3" t="s">
        <v>36</v>
      </c>
    </row>
    <row r="201" spans="1:30">
      <c r="A201" s="2">
        <v>46121</v>
      </c>
      <c r="B201" s="3" t="s">
        <v>30</v>
      </c>
      <c r="C201" s="3" t="s">
        <v>37</v>
      </c>
      <c r="D201" s="3" t="s">
        <v>32</v>
      </c>
      <c r="E201" s="3" t="s">
        <v>46</v>
      </c>
      <c r="F201" s="3" t="s">
        <v>47</v>
      </c>
      <c r="G201" s="4">
        <v>107.93</v>
      </c>
      <c r="H201" s="4">
        <v>174.45</v>
      </c>
      <c r="I201" s="4">
        <v>182.17</v>
      </c>
      <c r="J201" s="4">
        <v>8.2100000000000009</v>
      </c>
      <c r="K201" s="4">
        <v>8.1199999999999992</v>
      </c>
      <c r="L201" s="4">
        <v>5.4</v>
      </c>
      <c r="M201" s="4">
        <v>16.399999999999999</v>
      </c>
      <c r="N201" s="4">
        <v>133.57</v>
      </c>
      <c r="O201" s="4">
        <v>2614.1</v>
      </c>
      <c r="P201" s="5">
        <v>4.24E-2</v>
      </c>
      <c r="Q201" s="5">
        <v>0.95760000000000001</v>
      </c>
      <c r="R201" s="5">
        <v>1.14E-2</v>
      </c>
      <c r="S201" s="5">
        <v>2.1499999999999998E-2</v>
      </c>
      <c r="T201" s="5">
        <v>0.93820000000000003</v>
      </c>
      <c r="U201" s="5">
        <v>0.95330000000000004</v>
      </c>
      <c r="V201" s="5">
        <v>1.6164000000000001</v>
      </c>
      <c r="W201" s="4">
        <v>1.3061</v>
      </c>
      <c r="X201" s="6">
        <v>151893.63</v>
      </c>
      <c r="Y201" s="6">
        <v>21450.3</v>
      </c>
      <c r="Z201" s="6">
        <v>6532.99</v>
      </c>
      <c r="AA201" s="6">
        <v>186077.92</v>
      </c>
      <c r="AB201" s="6">
        <v>1066.6300000000001</v>
      </c>
      <c r="AC201" s="3" t="s">
        <v>252</v>
      </c>
      <c r="AD201" s="3" t="s">
        <v>36</v>
      </c>
    </row>
    <row r="202" spans="1:30">
      <c r="A202" s="2">
        <v>46122</v>
      </c>
      <c r="B202" s="3" t="s">
        <v>30</v>
      </c>
      <c r="C202" s="3" t="s">
        <v>42</v>
      </c>
      <c r="D202" s="3" t="s">
        <v>32</v>
      </c>
      <c r="E202" s="3" t="s">
        <v>52</v>
      </c>
      <c r="F202" s="3" t="s">
        <v>47</v>
      </c>
      <c r="G202" s="4">
        <v>60.56</v>
      </c>
      <c r="H202" s="4">
        <v>122.88</v>
      </c>
      <c r="I202" s="4">
        <v>127.7</v>
      </c>
      <c r="J202" s="4">
        <v>8.41</v>
      </c>
      <c r="K202" s="4">
        <v>8.33</v>
      </c>
      <c r="L202" s="4">
        <v>4.9000000000000004</v>
      </c>
      <c r="M202" s="4">
        <v>10.4</v>
      </c>
      <c r="N202" s="4">
        <v>86.8</v>
      </c>
      <c r="O202" s="4">
        <v>1971.4</v>
      </c>
      <c r="P202" s="5">
        <v>3.78E-2</v>
      </c>
      <c r="Q202" s="5">
        <v>0.96220000000000006</v>
      </c>
      <c r="R202" s="5">
        <v>9.1999999999999998E-3</v>
      </c>
      <c r="S202" s="5">
        <v>1.6899999999999998E-2</v>
      </c>
      <c r="T202" s="5">
        <v>0.75960000000000005</v>
      </c>
      <c r="U202" s="5">
        <v>0.77659999999999996</v>
      </c>
      <c r="V202" s="5">
        <v>2.0291000000000001</v>
      </c>
      <c r="W202" s="4">
        <v>1.4156</v>
      </c>
      <c r="X202" s="6">
        <v>101259.9</v>
      </c>
      <c r="Y202" s="6">
        <v>13122.14</v>
      </c>
      <c r="Z202" s="6">
        <v>4803.78</v>
      </c>
      <c r="AA202" s="6">
        <v>124367.65</v>
      </c>
      <c r="AB202" s="6">
        <v>1012.12</v>
      </c>
      <c r="AC202" s="3" t="s">
        <v>253</v>
      </c>
      <c r="AD202" s="3" t="s">
        <v>36</v>
      </c>
    </row>
    <row r="203" spans="1:30">
      <c r="A203" s="2">
        <v>46123</v>
      </c>
      <c r="B203" s="3" t="s">
        <v>30</v>
      </c>
      <c r="C203" s="3" t="s">
        <v>37</v>
      </c>
      <c r="D203" s="3" t="s">
        <v>38</v>
      </c>
      <c r="E203" s="3" t="s">
        <v>33</v>
      </c>
      <c r="F203" s="3" t="s">
        <v>34</v>
      </c>
      <c r="G203" s="4">
        <v>75.209999999999994</v>
      </c>
      <c r="H203" s="4">
        <v>104.73</v>
      </c>
      <c r="I203" s="4">
        <v>111.14</v>
      </c>
      <c r="J203" s="4">
        <v>7.96</v>
      </c>
      <c r="K203" s="4">
        <v>7.55</v>
      </c>
      <c r="L203" s="4">
        <v>24.5</v>
      </c>
      <c r="M203" s="4">
        <v>20.5</v>
      </c>
      <c r="N203" s="4">
        <v>154.78</v>
      </c>
      <c r="O203" s="4">
        <v>2024.7</v>
      </c>
      <c r="P203" s="5">
        <v>5.7700000000000001E-2</v>
      </c>
      <c r="Q203" s="5">
        <v>0.94230000000000003</v>
      </c>
      <c r="R203" s="5">
        <v>3.0700000000000002E-2</v>
      </c>
      <c r="S203" s="5">
        <v>1E-3</v>
      </c>
      <c r="T203" s="5">
        <v>0.69969999999999999</v>
      </c>
      <c r="U203" s="5">
        <v>0.69620000000000004</v>
      </c>
      <c r="V203" s="5">
        <v>1.3926000000000001</v>
      </c>
      <c r="W203" s="4">
        <v>0.67669999999999997</v>
      </c>
      <c r="X203" s="6">
        <v>75961.350000000006</v>
      </c>
      <c r="Y203" s="6">
        <v>25309.360000000001</v>
      </c>
      <c r="Z203" s="6">
        <v>4823.5</v>
      </c>
      <c r="AA203" s="6">
        <v>111059.05</v>
      </c>
      <c r="AB203" s="6">
        <v>1060.4100000000001</v>
      </c>
      <c r="AC203" s="3" t="s">
        <v>254</v>
      </c>
      <c r="AD203" s="3" t="s">
        <v>36</v>
      </c>
    </row>
    <row r="204" spans="1:30">
      <c r="A204" s="2">
        <v>46124</v>
      </c>
      <c r="B204" s="3" t="s">
        <v>30</v>
      </c>
      <c r="C204" s="3" t="s">
        <v>31</v>
      </c>
      <c r="D204" s="3" t="s">
        <v>32</v>
      </c>
      <c r="E204" s="3" t="s">
        <v>46</v>
      </c>
      <c r="F204" s="3" t="s">
        <v>47</v>
      </c>
      <c r="G204" s="4">
        <v>79.760000000000005</v>
      </c>
      <c r="H204" s="4">
        <v>176.65</v>
      </c>
      <c r="I204" s="4">
        <v>182.01</v>
      </c>
      <c r="J204" s="4">
        <v>8.14</v>
      </c>
      <c r="K204" s="4">
        <v>7.96</v>
      </c>
      <c r="L204" s="4">
        <v>10.7</v>
      </c>
      <c r="M204" s="4">
        <v>15.9</v>
      </c>
      <c r="N204" s="4">
        <v>126.42</v>
      </c>
      <c r="O204" s="4">
        <v>2909.2</v>
      </c>
      <c r="P204" s="5">
        <v>2.9499999999999998E-2</v>
      </c>
      <c r="Q204" s="5">
        <v>0.97050000000000003</v>
      </c>
      <c r="R204" s="5">
        <v>1.3599999999999999E-2</v>
      </c>
      <c r="S204" s="5">
        <v>1.4500000000000001E-2</v>
      </c>
      <c r="T204" s="5">
        <v>0.89570000000000005</v>
      </c>
      <c r="U204" s="5">
        <v>0.90659999999999996</v>
      </c>
      <c r="V204" s="5">
        <v>2.2147000000000001</v>
      </c>
      <c r="W204" s="4">
        <v>1.3973</v>
      </c>
      <c r="X204" s="6">
        <v>154599.24</v>
      </c>
      <c r="Y204" s="6">
        <v>22127.87</v>
      </c>
      <c r="Z204" s="6">
        <v>6650.88</v>
      </c>
      <c r="AA204" s="6">
        <v>190014.98</v>
      </c>
      <c r="AB204" s="6">
        <v>1075.67</v>
      </c>
      <c r="AC204" s="3" t="s">
        <v>255</v>
      </c>
      <c r="AD204" s="3" t="s">
        <v>59</v>
      </c>
    </row>
    <row r="205" spans="1:30">
      <c r="A205" s="2">
        <v>46125</v>
      </c>
      <c r="B205" s="3" t="s">
        <v>30</v>
      </c>
      <c r="C205" s="3" t="s">
        <v>42</v>
      </c>
      <c r="D205" s="3" t="s">
        <v>38</v>
      </c>
      <c r="E205" s="3" t="s">
        <v>33</v>
      </c>
      <c r="F205" s="3" t="s">
        <v>34</v>
      </c>
      <c r="G205" s="4">
        <v>74.08</v>
      </c>
      <c r="H205" s="4">
        <v>149.22</v>
      </c>
      <c r="I205" s="4">
        <v>153.69</v>
      </c>
      <c r="J205" s="4">
        <v>7.85</v>
      </c>
      <c r="K205" s="4">
        <v>7.77</v>
      </c>
      <c r="L205" s="4">
        <v>4.8</v>
      </c>
      <c r="M205" s="4">
        <v>16.899999999999999</v>
      </c>
      <c r="N205" s="4">
        <v>131.62</v>
      </c>
      <c r="O205" s="4">
        <v>2443.6999999999998</v>
      </c>
      <c r="P205" s="5">
        <v>2.9100000000000001E-2</v>
      </c>
      <c r="Q205" s="5">
        <v>0.97089999999999999</v>
      </c>
      <c r="R205" s="5">
        <v>1.0800000000000001E-2</v>
      </c>
      <c r="S205" s="5">
        <v>0.01</v>
      </c>
      <c r="T205" s="5">
        <v>0.98</v>
      </c>
      <c r="U205" s="5">
        <v>1</v>
      </c>
      <c r="V205" s="5">
        <v>2.0144000000000002</v>
      </c>
      <c r="W205" s="4">
        <v>1.1336999999999999</v>
      </c>
      <c r="X205" s="6">
        <v>120806.13</v>
      </c>
      <c r="Y205" s="6">
        <v>25433.59</v>
      </c>
      <c r="Z205" s="6">
        <v>5742.57</v>
      </c>
      <c r="AA205" s="6">
        <v>158548.64000000001</v>
      </c>
      <c r="AB205" s="6">
        <v>1062.48</v>
      </c>
      <c r="AC205" s="3" t="s">
        <v>256</v>
      </c>
      <c r="AD205" s="3" t="s">
        <v>59</v>
      </c>
    </row>
    <row r="206" spans="1:30">
      <c r="A206" s="2">
        <v>46126</v>
      </c>
      <c r="B206" s="3" t="s">
        <v>30</v>
      </c>
      <c r="C206" s="3" t="s">
        <v>42</v>
      </c>
      <c r="D206" s="3" t="s">
        <v>45</v>
      </c>
      <c r="E206" s="3" t="s">
        <v>46</v>
      </c>
      <c r="F206" s="3" t="s">
        <v>47</v>
      </c>
      <c r="G206" s="4">
        <v>136.84</v>
      </c>
      <c r="H206" s="4">
        <v>127.84</v>
      </c>
      <c r="I206" s="4">
        <v>135.78</v>
      </c>
      <c r="J206" s="4">
        <v>7.5</v>
      </c>
      <c r="K206" s="4">
        <v>7.39</v>
      </c>
      <c r="L206" s="4">
        <v>6.5</v>
      </c>
      <c r="M206" s="4">
        <v>16.399999999999999</v>
      </c>
      <c r="N206" s="4">
        <v>121.07</v>
      </c>
      <c r="O206" s="4">
        <v>2125.3000000000002</v>
      </c>
      <c r="P206" s="5">
        <v>5.8400000000000001E-2</v>
      </c>
      <c r="Q206" s="5">
        <v>0.94159999999999999</v>
      </c>
      <c r="R206" s="5">
        <v>2.1499999999999998E-2</v>
      </c>
      <c r="S206" s="5">
        <v>3.5000000000000001E-3</v>
      </c>
      <c r="T206" s="5">
        <v>0.93169999999999997</v>
      </c>
      <c r="U206" s="5">
        <v>0.8548</v>
      </c>
      <c r="V206" s="5">
        <v>0.93420000000000003</v>
      </c>
      <c r="W206" s="4">
        <v>1.056</v>
      </c>
      <c r="X206" s="6">
        <v>114049.19</v>
      </c>
      <c r="Y206" s="6">
        <v>22255.05</v>
      </c>
      <c r="Z206" s="6">
        <v>5531.78</v>
      </c>
      <c r="AA206" s="6">
        <v>145633.21</v>
      </c>
      <c r="AB206" s="6">
        <v>1139.1500000000001</v>
      </c>
      <c r="AC206" s="3" t="s">
        <v>257</v>
      </c>
      <c r="AD206" s="3" t="s">
        <v>36</v>
      </c>
    </row>
    <row r="207" spans="1:30">
      <c r="A207" s="2">
        <v>46127</v>
      </c>
      <c r="B207" s="3" t="s">
        <v>30</v>
      </c>
      <c r="C207" s="3" t="s">
        <v>31</v>
      </c>
      <c r="D207" s="3" t="s">
        <v>45</v>
      </c>
      <c r="E207" s="3" t="s">
        <v>46</v>
      </c>
      <c r="F207" s="3" t="s">
        <v>47</v>
      </c>
      <c r="G207" s="4">
        <v>75.650000000000006</v>
      </c>
      <c r="H207" s="4">
        <v>112.46</v>
      </c>
      <c r="I207" s="4">
        <v>119.62</v>
      </c>
      <c r="J207" s="4">
        <v>7.48</v>
      </c>
      <c r="K207" s="4">
        <v>7.07</v>
      </c>
      <c r="L207" s="4">
        <v>24.6</v>
      </c>
      <c r="M207" s="4">
        <v>19.100000000000001</v>
      </c>
      <c r="N207" s="4">
        <v>135.08000000000001</v>
      </c>
      <c r="O207" s="4">
        <v>2089.6999999999998</v>
      </c>
      <c r="P207" s="5">
        <v>5.9900000000000002E-2</v>
      </c>
      <c r="Q207" s="5">
        <v>0.94010000000000005</v>
      </c>
      <c r="R207" s="5">
        <v>2.69E-2</v>
      </c>
      <c r="S207" s="5">
        <v>1.38E-2</v>
      </c>
      <c r="T207" s="5">
        <v>0.73280000000000001</v>
      </c>
      <c r="U207" s="5">
        <v>0.71730000000000005</v>
      </c>
      <c r="V207" s="5">
        <v>1.4866999999999999</v>
      </c>
      <c r="W207" s="4">
        <v>0.83250000000000002</v>
      </c>
      <c r="X207" s="6">
        <v>99334.74</v>
      </c>
      <c r="Y207" s="6">
        <v>24698.91</v>
      </c>
      <c r="Z207" s="6">
        <v>5284.23</v>
      </c>
      <c r="AA207" s="6">
        <v>132477.4</v>
      </c>
      <c r="AB207" s="6">
        <v>1178.01</v>
      </c>
      <c r="AC207" s="3" t="s">
        <v>258</v>
      </c>
      <c r="AD207" s="3" t="s">
        <v>36</v>
      </c>
    </row>
    <row r="208" spans="1:30">
      <c r="A208" s="2">
        <v>46128</v>
      </c>
      <c r="B208" s="3" t="s">
        <v>30</v>
      </c>
      <c r="C208" s="3" t="s">
        <v>37</v>
      </c>
      <c r="D208" s="3" t="s">
        <v>45</v>
      </c>
      <c r="E208" s="3" t="s">
        <v>46</v>
      </c>
      <c r="F208" s="3" t="s">
        <v>47</v>
      </c>
      <c r="G208" s="4">
        <v>98.03</v>
      </c>
      <c r="H208" s="4">
        <v>111.72</v>
      </c>
      <c r="I208" s="4">
        <v>118.2</v>
      </c>
      <c r="J208" s="4">
        <v>7.56</v>
      </c>
      <c r="K208" s="4">
        <v>7.2</v>
      </c>
      <c r="L208" s="4">
        <v>21.2</v>
      </c>
      <c r="M208" s="4">
        <v>13.7</v>
      </c>
      <c r="N208" s="4">
        <v>98.47</v>
      </c>
      <c r="O208" s="4">
        <v>1989.5</v>
      </c>
      <c r="P208" s="5">
        <v>5.4899999999999997E-2</v>
      </c>
      <c r="Q208" s="5">
        <v>0.94510000000000005</v>
      </c>
      <c r="R208" s="5">
        <v>1.7999999999999999E-2</v>
      </c>
      <c r="S208" s="5">
        <v>1.5299999999999999E-2</v>
      </c>
      <c r="T208" s="5">
        <v>0.77380000000000004</v>
      </c>
      <c r="U208" s="5">
        <v>0.76270000000000004</v>
      </c>
      <c r="V208" s="5">
        <v>1.1395999999999999</v>
      </c>
      <c r="W208" s="4">
        <v>1.1345000000000001</v>
      </c>
      <c r="X208" s="6">
        <v>79213.86</v>
      </c>
      <c r="Y208" s="6">
        <v>18329.75</v>
      </c>
      <c r="Z208" s="6">
        <v>4362.13</v>
      </c>
      <c r="AA208" s="6">
        <v>107659.87</v>
      </c>
      <c r="AB208" s="6">
        <v>963.69</v>
      </c>
      <c r="AC208" s="3" t="s">
        <v>259</v>
      </c>
      <c r="AD208" s="3" t="s">
        <v>59</v>
      </c>
    </row>
    <row r="209" spans="1:30">
      <c r="A209" s="2">
        <v>46129</v>
      </c>
      <c r="B209" s="3" t="s">
        <v>30</v>
      </c>
      <c r="C209" s="3" t="s">
        <v>31</v>
      </c>
      <c r="D209" s="3" t="s">
        <v>45</v>
      </c>
      <c r="E209" s="3" t="s">
        <v>43</v>
      </c>
      <c r="F209" s="3" t="s">
        <v>40</v>
      </c>
      <c r="G209" s="4">
        <v>75.05</v>
      </c>
      <c r="H209" s="4">
        <v>111.28</v>
      </c>
      <c r="I209" s="4">
        <v>119.36</v>
      </c>
      <c r="J209" s="4">
        <v>7.71</v>
      </c>
      <c r="K209" s="4">
        <v>7.58</v>
      </c>
      <c r="L209" s="4">
        <v>7.7</v>
      </c>
      <c r="M209" s="4">
        <v>15.9</v>
      </c>
      <c r="N209" s="4">
        <v>120.58</v>
      </c>
      <c r="O209" s="4">
        <v>1853</v>
      </c>
      <c r="P209" s="5">
        <v>6.7699999999999996E-2</v>
      </c>
      <c r="Q209" s="5">
        <v>0.93230000000000002</v>
      </c>
      <c r="R209" s="5">
        <v>1.5299999999999999E-2</v>
      </c>
      <c r="S209" s="5">
        <v>4.0000000000000001E-3</v>
      </c>
      <c r="T209" s="5">
        <v>0.83650000000000002</v>
      </c>
      <c r="U209" s="5">
        <v>0.86019999999999996</v>
      </c>
      <c r="V209" s="5">
        <v>1.4827999999999999</v>
      </c>
      <c r="W209" s="4">
        <v>0.92290000000000005</v>
      </c>
      <c r="X209" s="6">
        <v>101185.15</v>
      </c>
      <c r="Y209" s="6">
        <v>22972.46</v>
      </c>
      <c r="Z209" s="6">
        <v>4272.08</v>
      </c>
      <c r="AA209" s="6">
        <v>133842.59</v>
      </c>
      <c r="AB209" s="6">
        <v>1202.74</v>
      </c>
      <c r="AC209" s="3" t="s">
        <v>260</v>
      </c>
      <c r="AD209" s="3" t="s">
        <v>56</v>
      </c>
    </row>
    <row r="210" spans="1:30">
      <c r="A210" s="2">
        <v>46130</v>
      </c>
      <c r="B210" s="3" t="s">
        <v>30</v>
      </c>
      <c r="C210" s="3" t="s">
        <v>31</v>
      </c>
      <c r="D210" s="3" t="s">
        <v>38</v>
      </c>
      <c r="E210" s="3" t="s">
        <v>39</v>
      </c>
      <c r="F210" s="3" t="s">
        <v>40</v>
      </c>
      <c r="G210" s="4">
        <v>83.52</v>
      </c>
      <c r="H210" s="4">
        <v>151.94999999999999</v>
      </c>
      <c r="I210" s="4">
        <v>158.07</v>
      </c>
      <c r="J210" s="4">
        <v>8.26</v>
      </c>
      <c r="K210" s="4">
        <v>8</v>
      </c>
      <c r="L210" s="4">
        <v>15.5</v>
      </c>
      <c r="M210" s="4">
        <v>19.600000000000001</v>
      </c>
      <c r="N210" s="4">
        <v>156.77000000000001</v>
      </c>
      <c r="O210" s="4">
        <v>2502.5</v>
      </c>
      <c r="P210" s="5">
        <v>3.8800000000000001E-2</v>
      </c>
      <c r="Q210" s="5">
        <v>0.96120000000000005</v>
      </c>
      <c r="R210" s="5">
        <v>3.8899999999999997E-2</v>
      </c>
      <c r="S210" s="5">
        <v>1.2500000000000001E-2</v>
      </c>
      <c r="T210" s="5">
        <v>0.87090000000000001</v>
      </c>
      <c r="U210" s="5">
        <v>0.87480000000000002</v>
      </c>
      <c r="V210" s="5">
        <v>1.8191999999999999</v>
      </c>
      <c r="W210" s="4">
        <v>0.96919999999999995</v>
      </c>
      <c r="X210" s="6">
        <v>111405.65</v>
      </c>
      <c r="Y210" s="6">
        <v>25647.58</v>
      </c>
      <c r="Z210" s="6">
        <v>6912.51</v>
      </c>
      <c r="AA210" s="6">
        <v>149286.57</v>
      </c>
      <c r="AB210" s="6">
        <v>982.48</v>
      </c>
      <c r="AC210" s="3" t="s">
        <v>261</v>
      </c>
      <c r="AD210" s="3" t="s">
        <v>59</v>
      </c>
    </row>
    <row r="211" spans="1:30">
      <c r="A211" s="2">
        <v>46131</v>
      </c>
      <c r="B211" s="3" t="s">
        <v>30</v>
      </c>
      <c r="C211" s="3" t="s">
        <v>37</v>
      </c>
      <c r="D211" s="3" t="s">
        <v>38</v>
      </c>
      <c r="E211" s="3" t="s">
        <v>39</v>
      </c>
      <c r="F211" s="3" t="s">
        <v>40</v>
      </c>
      <c r="G211" s="4">
        <v>84.79</v>
      </c>
      <c r="H211" s="4">
        <v>87.75</v>
      </c>
      <c r="I211" s="4">
        <v>91.44</v>
      </c>
      <c r="J211" s="4">
        <v>7.22</v>
      </c>
      <c r="K211" s="4">
        <v>7.13</v>
      </c>
      <c r="L211" s="4">
        <v>5.3</v>
      </c>
      <c r="M211" s="4">
        <v>17</v>
      </c>
      <c r="N211" s="4">
        <v>121.32</v>
      </c>
      <c r="O211" s="4">
        <v>1786.4</v>
      </c>
      <c r="P211" s="5">
        <v>4.0399999999999998E-2</v>
      </c>
      <c r="Q211" s="5">
        <v>0.95960000000000001</v>
      </c>
      <c r="R211" s="5">
        <v>4.4900000000000002E-2</v>
      </c>
      <c r="S211" s="5">
        <v>9.4000000000000004E-3</v>
      </c>
      <c r="T211" s="5">
        <v>0.60909999999999997</v>
      </c>
      <c r="U211" s="5">
        <v>0.61680000000000001</v>
      </c>
      <c r="V211" s="5">
        <v>1.0348999999999999</v>
      </c>
      <c r="W211" s="4">
        <v>0.72330000000000005</v>
      </c>
      <c r="X211" s="6">
        <v>70362.539999999994</v>
      </c>
      <c r="Y211" s="6">
        <v>18887.91</v>
      </c>
      <c r="Z211" s="6">
        <v>4679.84</v>
      </c>
      <c r="AA211" s="6">
        <v>100615.16</v>
      </c>
      <c r="AB211" s="6">
        <v>1146.58</v>
      </c>
      <c r="AC211" s="3" t="s">
        <v>262</v>
      </c>
      <c r="AD211" s="3" t="s">
        <v>59</v>
      </c>
    </row>
    <row r="212" spans="1:30">
      <c r="A212" s="2">
        <v>46132</v>
      </c>
      <c r="B212" s="3" t="s">
        <v>30</v>
      </c>
      <c r="C212" s="3" t="s">
        <v>42</v>
      </c>
      <c r="D212" s="3" t="s">
        <v>32</v>
      </c>
      <c r="E212" s="3" t="s">
        <v>52</v>
      </c>
      <c r="F212" s="3" t="s">
        <v>47</v>
      </c>
      <c r="G212" s="4">
        <v>131.51</v>
      </c>
      <c r="H212" s="4">
        <v>138.02000000000001</v>
      </c>
      <c r="I212" s="4">
        <v>142.96</v>
      </c>
      <c r="J212" s="4">
        <v>7.96</v>
      </c>
      <c r="K212" s="4">
        <v>7.91</v>
      </c>
      <c r="L212" s="4">
        <v>2.6</v>
      </c>
      <c r="M212" s="4">
        <v>16.3</v>
      </c>
      <c r="N212" s="4">
        <v>128.96</v>
      </c>
      <c r="O212" s="4">
        <v>2297.8000000000002</v>
      </c>
      <c r="P212" s="5">
        <v>3.4500000000000003E-2</v>
      </c>
      <c r="Q212" s="5">
        <v>0.96550000000000002</v>
      </c>
      <c r="R212" s="5">
        <v>2.2599999999999999E-2</v>
      </c>
      <c r="S212" s="5">
        <v>1.55E-2</v>
      </c>
      <c r="T212" s="5">
        <v>0.81530000000000002</v>
      </c>
      <c r="U212" s="5">
        <v>0.83779999999999999</v>
      </c>
      <c r="V212" s="5">
        <v>1.0495000000000001</v>
      </c>
      <c r="W212" s="4">
        <v>1.0702</v>
      </c>
      <c r="X212" s="6">
        <v>115774.02</v>
      </c>
      <c r="Y212" s="6">
        <v>20398.900000000001</v>
      </c>
      <c r="Z212" s="6">
        <v>5323.9</v>
      </c>
      <c r="AA212" s="6">
        <v>147439.18</v>
      </c>
      <c r="AB212" s="6">
        <v>1068.26</v>
      </c>
      <c r="AC212" s="3" t="s">
        <v>263</v>
      </c>
      <c r="AD212" s="3" t="s">
        <v>36</v>
      </c>
    </row>
    <row r="213" spans="1:30">
      <c r="A213" s="2">
        <v>46133</v>
      </c>
      <c r="B213" s="3" t="s">
        <v>30</v>
      </c>
      <c r="C213" s="3" t="s">
        <v>37</v>
      </c>
      <c r="D213" s="3" t="s">
        <v>32</v>
      </c>
      <c r="E213" s="3" t="s">
        <v>39</v>
      </c>
      <c r="F213" s="3" t="s">
        <v>40</v>
      </c>
      <c r="G213" s="4">
        <v>145.47</v>
      </c>
      <c r="H213" s="4">
        <v>123.91</v>
      </c>
      <c r="I213" s="4">
        <v>128.62</v>
      </c>
      <c r="J213" s="4">
        <v>8.1199999999999992</v>
      </c>
      <c r="K213" s="4">
        <v>7.93</v>
      </c>
      <c r="L213" s="4">
        <v>11.1</v>
      </c>
      <c r="M213" s="4">
        <v>14.7</v>
      </c>
      <c r="N213" s="4">
        <v>116.35</v>
      </c>
      <c r="O213" s="4">
        <v>2286.6999999999998</v>
      </c>
      <c r="P213" s="5">
        <v>3.6600000000000001E-2</v>
      </c>
      <c r="Q213" s="5">
        <v>0.96340000000000003</v>
      </c>
      <c r="R213" s="5">
        <v>1.84E-2</v>
      </c>
      <c r="S213" s="5">
        <v>2.8999999999999998E-3</v>
      </c>
      <c r="T213" s="5">
        <v>0.82050000000000001</v>
      </c>
      <c r="U213" s="5">
        <v>0.68110000000000004</v>
      </c>
      <c r="V213" s="5">
        <v>0.8518</v>
      </c>
      <c r="W213" s="4">
        <v>1.0649999999999999</v>
      </c>
      <c r="X213" s="6">
        <v>88046.06</v>
      </c>
      <c r="Y213" s="6">
        <v>17902.3</v>
      </c>
      <c r="Z213" s="6">
        <v>5928.98</v>
      </c>
      <c r="AA213" s="6">
        <v>116074.31</v>
      </c>
      <c r="AB213" s="6">
        <v>936.74</v>
      </c>
      <c r="AC213" s="3" t="s">
        <v>264</v>
      </c>
      <c r="AD213" s="3" t="s">
        <v>36</v>
      </c>
    </row>
    <row r="214" spans="1:30">
      <c r="A214" s="2">
        <v>46134</v>
      </c>
      <c r="B214" s="3" t="s">
        <v>30</v>
      </c>
      <c r="C214" s="3" t="s">
        <v>42</v>
      </c>
      <c r="D214" s="3" t="s">
        <v>45</v>
      </c>
      <c r="E214" s="3" t="s">
        <v>52</v>
      </c>
      <c r="F214" s="3" t="s">
        <v>47</v>
      </c>
      <c r="G214" s="4">
        <v>57.57</v>
      </c>
      <c r="H214" s="4">
        <v>122.77</v>
      </c>
      <c r="I214" s="4">
        <v>130.38</v>
      </c>
      <c r="J214" s="4">
        <v>8.18</v>
      </c>
      <c r="K214" s="4">
        <v>8.01</v>
      </c>
      <c r="L214" s="4">
        <v>10.7</v>
      </c>
      <c r="M214" s="4">
        <v>19.3</v>
      </c>
      <c r="N214" s="4">
        <v>154.21</v>
      </c>
      <c r="O214" s="4">
        <v>2202.4</v>
      </c>
      <c r="P214" s="5">
        <v>5.8400000000000001E-2</v>
      </c>
      <c r="Q214" s="5">
        <v>0.94159999999999999</v>
      </c>
      <c r="R214" s="5">
        <v>2.3699999999999999E-2</v>
      </c>
      <c r="S214" s="5">
        <v>1.3899999999999999E-2</v>
      </c>
      <c r="T214" s="5">
        <v>0.84719999999999995</v>
      </c>
      <c r="U214" s="5">
        <v>0.85819999999999996</v>
      </c>
      <c r="V214" s="5">
        <v>2.1324999999999998</v>
      </c>
      <c r="W214" s="4">
        <v>0.79610000000000003</v>
      </c>
      <c r="X214" s="6">
        <v>88789.72</v>
      </c>
      <c r="Y214" s="6">
        <v>23919.67</v>
      </c>
      <c r="Z214" s="6">
        <v>4618.4799999999996</v>
      </c>
      <c r="AA214" s="6">
        <v>121724.48</v>
      </c>
      <c r="AB214" s="6">
        <v>991.52</v>
      </c>
      <c r="AC214" s="3" t="s">
        <v>265</v>
      </c>
      <c r="AD214" s="3" t="s">
        <v>36</v>
      </c>
    </row>
    <row r="215" spans="1:30">
      <c r="A215" s="2">
        <v>46135</v>
      </c>
      <c r="B215" s="3" t="s">
        <v>30</v>
      </c>
      <c r="C215" s="3" t="s">
        <v>31</v>
      </c>
      <c r="D215" s="3" t="s">
        <v>32</v>
      </c>
      <c r="E215" s="3" t="s">
        <v>39</v>
      </c>
      <c r="F215" s="3" t="s">
        <v>40</v>
      </c>
      <c r="G215" s="4">
        <v>71.09</v>
      </c>
      <c r="H215" s="4">
        <v>114.24</v>
      </c>
      <c r="I215" s="4">
        <v>122.65</v>
      </c>
      <c r="J215" s="4">
        <v>7.2</v>
      </c>
      <c r="K215" s="4">
        <v>7.1</v>
      </c>
      <c r="L215" s="4">
        <v>5.8</v>
      </c>
      <c r="M215" s="4">
        <v>16.7</v>
      </c>
      <c r="N215" s="4">
        <v>118.4</v>
      </c>
      <c r="O215" s="4">
        <v>1820.2</v>
      </c>
      <c r="P215" s="5">
        <v>6.8599999999999994E-2</v>
      </c>
      <c r="Q215" s="5">
        <v>0.93140000000000001</v>
      </c>
      <c r="R215" s="5">
        <v>1.7600000000000001E-2</v>
      </c>
      <c r="S215" s="5">
        <v>1E-3</v>
      </c>
      <c r="T215" s="5">
        <v>0.82630000000000003</v>
      </c>
      <c r="U215" s="5">
        <v>0.85519999999999996</v>
      </c>
      <c r="V215" s="5">
        <v>1.607</v>
      </c>
      <c r="W215" s="4">
        <v>0.96489999999999998</v>
      </c>
      <c r="X215" s="6">
        <v>80989.350000000006</v>
      </c>
      <c r="Y215" s="6">
        <v>20570.03</v>
      </c>
      <c r="Z215" s="6">
        <v>3933.34</v>
      </c>
      <c r="AA215" s="6">
        <v>109110.78</v>
      </c>
      <c r="AB215" s="6">
        <v>955.09</v>
      </c>
      <c r="AC215" s="3" t="s">
        <v>266</v>
      </c>
      <c r="AD215" s="3" t="s">
        <v>36</v>
      </c>
    </row>
    <row r="216" spans="1:30">
      <c r="A216" s="2">
        <v>46136</v>
      </c>
      <c r="B216" s="3" t="s">
        <v>30</v>
      </c>
      <c r="C216" s="3" t="s">
        <v>31</v>
      </c>
      <c r="D216" s="3" t="s">
        <v>32</v>
      </c>
      <c r="E216" s="3" t="s">
        <v>62</v>
      </c>
      <c r="F216" s="3" t="s">
        <v>63</v>
      </c>
      <c r="G216" s="4">
        <v>96.56</v>
      </c>
      <c r="H216" s="4">
        <v>136.15</v>
      </c>
      <c r="I216" s="4">
        <v>147.71</v>
      </c>
      <c r="J216" s="4">
        <v>8.2200000000000006</v>
      </c>
      <c r="K216" s="4">
        <v>8.18</v>
      </c>
      <c r="L216" s="4">
        <v>2.5</v>
      </c>
      <c r="M216" s="4">
        <v>17.8</v>
      </c>
      <c r="N216" s="4">
        <v>146.04</v>
      </c>
      <c r="O216" s="4">
        <v>2161.1</v>
      </c>
      <c r="P216" s="5">
        <v>7.8299999999999995E-2</v>
      </c>
      <c r="Q216" s="5">
        <v>0.92169999999999996</v>
      </c>
      <c r="R216" s="5">
        <v>1.6199999999999999E-2</v>
      </c>
      <c r="S216" s="5">
        <v>1.6299999999999999E-2</v>
      </c>
      <c r="T216" s="5">
        <v>0.87090000000000001</v>
      </c>
      <c r="U216" s="5">
        <v>0.89500000000000002</v>
      </c>
      <c r="V216" s="5">
        <v>1.41</v>
      </c>
      <c r="W216" s="4">
        <v>0.93230000000000002</v>
      </c>
      <c r="X216" s="6">
        <v>126530.67</v>
      </c>
      <c r="Y216" s="6">
        <v>26473.46</v>
      </c>
      <c r="Z216" s="6">
        <v>5994.93</v>
      </c>
      <c r="AA216" s="6">
        <v>161726.45000000001</v>
      </c>
      <c r="AB216" s="6">
        <v>1187.8800000000001</v>
      </c>
      <c r="AC216" s="3" t="s">
        <v>267</v>
      </c>
      <c r="AD216" s="3" t="s">
        <v>36</v>
      </c>
    </row>
    <row r="217" spans="1:30">
      <c r="A217" s="2">
        <v>46137</v>
      </c>
      <c r="B217" s="3" t="s">
        <v>30</v>
      </c>
      <c r="C217" s="3" t="s">
        <v>51</v>
      </c>
      <c r="D217" s="3" t="s">
        <v>45</v>
      </c>
      <c r="E217" s="3" t="s">
        <v>33</v>
      </c>
      <c r="F217" s="3" t="s">
        <v>34</v>
      </c>
      <c r="G217" s="4">
        <v>136.19999999999999</v>
      </c>
      <c r="H217" s="4">
        <v>122.78</v>
      </c>
      <c r="I217" s="4">
        <v>128.75</v>
      </c>
      <c r="J217" s="4">
        <v>7.44</v>
      </c>
      <c r="K217" s="4">
        <v>7.37</v>
      </c>
      <c r="L217" s="4">
        <v>4.0999999999999996</v>
      </c>
      <c r="M217" s="4">
        <v>20.5</v>
      </c>
      <c r="N217" s="4">
        <v>150.9</v>
      </c>
      <c r="O217" s="4">
        <v>2161.1</v>
      </c>
      <c r="P217" s="5">
        <v>4.6300000000000001E-2</v>
      </c>
      <c r="Q217" s="5">
        <v>0.95369999999999999</v>
      </c>
      <c r="R217" s="5">
        <v>1.41E-2</v>
      </c>
      <c r="S217" s="5">
        <v>1.0699999999999999E-2</v>
      </c>
      <c r="T217" s="5">
        <v>0.78</v>
      </c>
      <c r="U217" s="5">
        <v>0.68920000000000003</v>
      </c>
      <c r="V217" s="5">
        <v>0.90149999999999997</v>
      </c>
      <c r="W217" s="4">
        <v>0.81369999999999998</v>
      </c>
      <c r="X217" s="6">
        <v>81992.09</v>
      </c>
      <c r="Y217" s="6">
        <v>26886.2</v>
      </c>
      <c r="Z217" s="6">
        <v>4769.04</v>
      </c>
      <c r="AA217" s="6">
        <v>119969.43</v>
      </c>
      <c r="AB217" s="6">
        <v>977.07</v>
      </c>
      <c r="AC217" s="3" t="s">
        <v>268</v>
      </c>
      <c r="AD217" s="3" t="s">
        <v>36</v>
      </c>
    </row>
    <row r="218" spans="1:30">
      <c r="A218" s="2">
        <v>46138</v>
      </c>
      <c r="B218" s="3" t="s">
        <v>30</v>
      </c>
      <c r="C218" s="3" t="s">
        <v>31</v>
      </c>
      <c r="D218" s="3" t="s">
        <v>32</v>
      </c>
      <c r="E218" s="3" t="s">
        <v>33</v>
      </c>
      <c r="F218" s="3" t="s">
        <v>34</v>
      </c>
      <c r="G218" s="4">
        <v>99.67</v>
      </c>
      <c r="H218" s="4">
        <v>93.84</v>
      </c>
      <c r="I218" s="4">
        <v>97.3</v>
      </c>
      <c r="J218" s="4">
        <v>7.37</v>
      </c>
      <c r="K218" s="4">
        <v>7.33</v>
      </c>
      <c r="L218" s="4">
        <v>2.6</v>
      </c>
      <c r="M218" s="4">
        <v>15.5</v>
      </c>
      <c r="N218" s="4">
        <v>113.38</v>
      </c>
      <c r="O218" s="4">
        <v>1864.6</v>
      </c>
      <c r="P218" s="5">
        <v>3.56E-2</v>
      </c>
      <c r="Q218" s="5">
        <v>0.96440000000000003</v>
      </c>
      <c r="R218" s="5">
        <v>3.1E-2</v>
      </c>
      <c r="S218" s="5">
        <v>2.3400000000000001E-2</v>
      </c>
      <c r="T218" s="5">
        <v>0.86209999999999998</v>
      </c>
      <c r="U218" s="5">
        <v>0.78800000000000003</v>
      </c>
      <c r="V218" s="5">
        <v>0.9415</v>
      </c>
      <c r="W218" s="4">
        <v>0.8276</v>
      </c>
      <c r="X218" s="6">
        <v>65773.14</v>
      </c>
      <c r="Y218" s="6">
        <v>21002.93</v>
      </c>
      <c r="Z218" s="6">
        <v>5138</v>
      </c>
      <c r="AA218" s="6">
        <v>97947.18</v>
      </c>
      <c r="AB218" s="6">
        <v>1043.81</v>
      </c>
      <c r="AC218" s="3" t="s">
        <v>269</v>
      </c>
      <c r="AD218" s="3" t="s">
        <v>49</v>
      </c>
    </row>
    <row r="219" spans="1:30">
      <c r="A219" s="2">
        <v>46139</v>
      </c>
      <c r="B219" s="3" t="s">
        <v>30</v>
      </c>
      <c r="C219" s="3" t="s">
        <v>37</v>
      </c>
      <c r="D219" s="3" t="s">
        <v>32</v>
      </c>
      <c r="E219" s="3" t="s">
        <v>39</v>
      </c>
      <c r="F219" s="3" t="s">
        <v>40</v>
      </c>
      <c r="G219" s="4">
        <v>144.69999999999999</v>
      </c>
      <c r="H219" s="4">
        <v>123.28</v>
      </c>
      <c r="I219" s="4">
        <v>129.08000000000001</v>
      </c>
      <c r="J219" s="4">
        <v>7.59</v>
      </c>
      <c r="K219" s="4">
        <v>7.49</v>
      </c>
      <c r="L219" s="4">
        <v>6.2</v>
      </c>
      <c r="M219" s="4">
        <v>17.7</v>
      </c>
      <c r="N219" s="4">
        <v>132.43</v>
      </c>
      <c r="O219" s="4">
        <v>2142.8000000000002</v>
      </c>
      <c r="P219" s="5">
        <v>4.4900000000000002E-2</v>
      </c>
      <c r="Q219" s="5">
        <v>0.95509999999999995</v>
      </c>
      <c r="R219" s="5">
        <v>1.7500000000000002E-2</v>
      </c>
      <c r="S219" s="5">
        <v>1.2699999999999999E-2</v>
      </c>
      <c r="T219" s="5">
        <v>0.91520000000000001</v>
      </c>
      <c r="U219" s="5">
        <v>0.75929999999999997</v>
      </c>
      <c r="V219" s="5">
        <v>0.85199999999999998</v>
      </c>
      <c r="W219" s="4">
        <v>0.93089999999999995</v>
      </c>
      <c r="X219" s="6">
        <v>108016.38</v>
      </c>
      <c r="Y219" s="6">
        <v>24184.55</v>
      </c>
      <c r="Z219" s="6">
        <v>5922.46</v>
      </c>
      <c r="AA219" s="6">
        <v>144788.85999999999</v>
      </c>
      <c r="AB219" s="6">
        <v>1174.45</v>
      </c>
      <c r="AC219" s="3" t="s">
        <v>270</v>
      </c>
      <c r="AD219" s="3" t="s">
        <v>49</v>
      </c>
    </row>
    <row r="220" spans="1:30">
      <c r="A220" s="2">
        <v>46140</v>
      </c>
      <c r="B220" s="3" t="s">
        <v>30</v>
      </c>
      <c r="C220" s="3" t="s">
        <v>51</v>
      </c>
      <c r="D220" s="3" t="s">
        <v>32</v>
      </c>
      <c r="E220" s="3" t="s">
        <v>62</v>
      </c>
      <c r="F220" s="3" t="s">
        <v>63</v>
      </c>
      <c r="G220" s="4">
        <v>89.81</v>
      </c>
      <c r="H220" s="4">
        <v>159.61000000000001</v>
      </c>
      <c r="I220" s="4">
        <v>164.85</v>
      </c>
      <c r="J220" s="4">
        <v>7.63</v>
      </c>
      <c r="K220" s="4">
        <v>7.52</v>
      </c>
      <c r="L220" s="4">
        <v>6.6</v>
      </c>
      <c r="M220" s="4">
        <v>18.7</v>
      </c>
      <c r="N220" s="4">
        <v>140.76</v>
      </c>
      <c r="O220" s="4">
        <v>2419</v>
      </c>
      <c r="P220" s="5">
        <v>3.1800000000000002E-2</v>
      </c>
      <c r="Q220" s="5">
        <v>0.96819999999999995</v>
      </c>
      <c r="R220" s="5">
        <v>2.98E-2</v>
      </c>
      <c r="S220" s="5">
        <v>1.1299999999999999E-2</v>
      </c>
      <c r="T220" s="5">
        <v>0.9506</v>
      </c>
      <c r="U220" s="5">
        <v>0.97260000000000002</v>
      </c>
      <c r="V220" s="5">
        <v>1.7773000000000001</v>
      </c>
      <c r="W220" s="4">
        <v>1.1339999999999999</v>
      </c>
      <c r="X220" s="6">
        <v>125717.99</v>
      </c>
      <c r="Y220" s="6">
        <v>25368.73</v>
      </c>
      <c r="Z220" s="6">
        <v>5780.14</v>
      </c>
      <c r="AA220" s="6">
        <v>162196.76999999999</v>
      </c>
      <c r="AB220" s="6">
        <v>1016.19</v>
      </c>
      <c r="AC220" s="3" t="s">
        <v>271</v>
      </c>
      <c r="AD220" s="3" t="s">
        <v>36</v>
      </c>
    </row>
    <row r="221" spans="1:30">
      <c r="A221" s="2">
        <v>46141</v>
      </c>
      <c r="B221" s="3" t="s">
        <v>30</v>
      </c>
      <c r="C221" s="3" t="s">
        <v>31</v>
      </c>
      <c r="D221" s="3" t="s">
        <v>32</v>
      </c>
      <c r="E221" s="3" t="s">
        <v>52</v>
      </c>
      <c r="F221" s="3" t="s">
        <v>47</v>
      </c>
      <c r="G221" s="4">
        <v>93.97</v>
      </c>
      <c r="H221" s="4">
        <v>118.99</v>
      </c>
      <c r="I221" s="4">
        <v>125.59</v>
      </c>
      <c r="J221" s="4">
        <v>7.45</v>
      </c>
      <c r="K221" s="4">
        <v>7.26</v>
      </c>
      <c r="L221" s="4">
        <v>11.5</v>
      </c>
      <c r="M221" s="4">
        <v>14.5</v>
      </c>
      <c r="N221" s="4">
        <v>105.17</v>
      </c>
      <c r="O221" s="4">
        <v>2228.9</v>
      </c>
      <c r="P221" s="5">
        <v>5.2499999999999998E-2</v>
      </c>
      <c r="Q221" s="5">
        <v>0.94750000000000001</v>
      </c>
      <c r="R221" s="5">
        <v>3.2599999999999997E-2</v>
      </c>
      <c r="S221" s="5">
        <v>2.1299999999999999E-2</v>
      </c>
      <c r="T221" s="5">
        <v>0.93489999999999995</v>
      </c>
      <c r="U221" s="5">
        <v>0.93589999999999995</v>
      </c>
      <c r="V221" s="5">
        <v>1.2663</v>
      </c>
      <c r="W221" s="4">
        <v>1.1314</v>
      </c>
      <c r="X221" s="6">
        <v>99323.06</v>
      </c>
      <c r="Y221" s="6">
        <v>18932.060000000001</v>
      </c>
      <c r="Z221" s="6">
        <v>5410.27</v>
      </c>
      <c r="AA221" s="6">
        <v>129558.09</v>
      </c>
      <c r="AB221" s="6">
        <v>1088.79</v>
      </c>
      <c r="AC221" s="3" t="s">
        <v>272</v>
      </c>
      <c r="AD221" s="3" t="s">
        <v>36</v>
      </c>
    </row>
    <row r="222" spans="1:30">
      <c r="A222" s="2">
        <v>46142</v>
      </c>
      <c r="B222" s="3" t="s">
        <v>30</v>
      </c>
      <c r="C222" s="3" t="s">
        <v>42</v>
      </c>
      <c r="D222" s="3" t="s">
        <v>38</v>
      </c>
      <c r="E222" s="3" t="s">
        <v>33</v>
      </c>
      <c r="F222" s="3" t="s">
        <v>34</v>
      </c>
      <c r="G222" s="4">
        <v>108.16</v>
      </c>
      <c r="H222" s="4">
        <v>132.03</v>
      </c>
      <c r="I222" s="4">
        <v>137.36000000000001</v>
      </c>
      <c r="J222" s="4">
        <v>8.0299999999999994</v>
      </c>
      <c r="K222" s="4">
        <v>7.78</v>
      </c>
      <c r="L222" s="4">
        <v>15</v>
      </c>
      <c r="M222" s="4">
        <v>13.5</v>
      </c>
      <c r="N222" s="4">
        <v>104.88</v>
      </c>
      <c r="O222" s="4">
        <v>2060.6999999999998</v>
      </c>
      <c r="P222" s="5">
        <v>3.8800000000000001E-2</v>
      </c>
      <c r="Q222" s="5">
        <v>0.96120000000000005</v>
      </c>
      <c r="R222" s="5">
        <v>4.5100000000000001E-2</v>
      </c>
      <c r="S222" s="5">
        <v>1.6999999999999999E-3</v>
      </c>
      <c r="T222" s="5">
        <v>0.79610000000000003</v>
      </c>
      <c r="U222" s="5">
        <v>0.8085</v>
      </c>
      <c r="V222" s="5">
        <v>1.2208000000000001</v>
      </c>
      <c r="W222" s="4">
        <v>1.2588999999999999</v>
      </c>
      <c r="X222" s="6">
        <v>93977.23</v>
      </c>
      <c r="Y222" s="6">
        <v>19661.43</v>
      </c>
      <c r="Z222" s="6">
        <v>5167.34</v>
      </c>
      <c r="AA222" s="6">
        <v>125333.21</v>
      </c>
      <c r="AB222" s="6">
        <v>949.24</v>
      </c>
      <c r="AC222" s="3" t="s">
        <v>273</v>
      </c>
      <c r="AD222" s="3" t="s">
        <v>36</v>
      </c>
    </row>
    <row r="223" spans="1:30">
      <c r="A223" s="2">
        <v>46143</v>
      </c>
      <c r="B223" s="3" t="s">
        <v>30</v>
      </c>
      <c r="C223" s="3" t="s">
        <v>31</v>
      </c>
      <c r="D223" s="3" t="s">
        <v>32</v>
      </c>
      <c r="E223" s="3" t="s">
        <v>46</v>
      </c>
      <c r="F223" s="3" t="s">
        <v>47</v>
      </c>
      <c r="G223" s="4">
        <v>149.62</v>
      </c>
      <c r="H223" s="4">
        <v>134.01</v>
      </c>
      <c r="I223" s="4">
        <v>144.72</v>
      </c>
      <c r="J223" s="4">
        <v>7.88</v>
      </c>
      <c r="K223" s="4">
        <v>7.8</v>
      </c>
      <c r="L223" s="4">
        <v>5</v>
      </c>
      <c r="M223" s="4">
        <v>16.2</v>
      </c>
      <c r="N223" s="4">
        <v>126.22</v>
      </c>
      <c r="O223" s="4">
        <v>2251.6999999999998</v>
      </c>
      <c r="P223" s="5">
        <v>7.3999999999999996E-2</v>
      </c>
      <c r="Q223" s="5">
        <v>0.92600000000000005</v>
      </c>
      <c r="R223" s="5">
        <v>3.5999999999999997E-2</v>
      </c>
      <c r="S223" s="5">
        <v>7.3000000000000001E-3</v>
      </c>
      <c r="T223" s="5">
        <v>0.8921</v>
      </c>
      <c r="U223" s="5">
        <v>0.78480000000000005</v>
      </c>
      <c r="V223" s="5">
        <v>0.89570000000000005</v>
      </c>
      <c r="W223" s="4">
        <v>1.0617000000000001</v>
      </c>
      <c r="X223" s="6">
        <v>90921.57</v>
      </c>
      <c r="Y223" s="6">
        <v>19652.169999999998</v>
      </c>
      <c r="Z223" s="6">
        <v>6220.15</v>
      </c>
      <c r="AA223" s="6">
        <v>120780.53</v>
      </c>
      <c r="AB223" s="6">
        <v>901.25</v>
      </c>
      <c r="AC223" s="3" t="s">
        <v>274</v>
      </c>
      <c r="AD223" s="3" t="s">
        <v>36</v>
      </c>
    </row>
    <row r="224" spans="1:30">
      <c r="A224" s="2">
        <v>46144</v>
      </c>
      <c r="B224" s="3" t="s">
        <v>30</v>
      </c>
      <c r="C224" s="3" t="s">
        <v>42</v>
      </c>
      <c r="D224" s="3" t="s">
        <v>45</v>
      </c>
      <c r="E224" s="3" t="s">
        <v>39</v>
      </c>
      <c r="F224" s="3" t="s">
        <v>40</v>
      </c>
      <c r="G224" s="4">
        <v>69.84</v>
      </c>
      <c r="H224" s="4">
        <v>120.91</v>
      </c>
      <c r="I224" s="4">
        <v>124.59</v>
      </c>
      <c r="J224" s="4">
        <v>7.88</v>
      </c>
      <c r="K224" s="4">
        <v>7.82</v>
      </c>
      <c r="L224" s="4">
        <v>3.8</v>
      </c>
      <c r="M224" s="4">
        <v>13.8</v>
      </c>
      <c r="N224" s="4">
        <v>107.59</v>
      </c>
      <c r="O224" s="4">
        <v>2156.1999999999998</v>
      </c>
      <c r="P224" s="5">
        <v>2.9499999999999998E-2</v>
      </c>
      <c r="Q224" s="5">
        <v>0.97050000000000003</v>
      </c>
      <c r="R224" s="5">
        <v>2.64E-2</v>
      </c>
      <c r="S224" s="5">
        <v>2.1000000000000001E-2</v>
      </c>
      <c r="T224" s="5">
        <v>0.82540000000000002</v>
      </c>
      <c r="U224" s="5">
        <v>0.8417</v>
      </c>
      <c r="V224" s="5">
        <v>1.7311000000000001</v>
      </c>
      <c r="W224" s="4">
        <v>1.1237999999999999</v>
      </c>
      <c r="X224" s="6">
        <v>81353.350000000006</v>
      </c>
      <c r="Y224" s="6">
        <v>20147.96</v>
      </c>
      <c r="Z224" s="6">
        <v>5728.93</v>
      </c>
      <c r="AA224" s="6">
        <v>112324.91</v>
      </c>
      <c r="AB224" s="6">
        <v>929.01</v>
      </c>
      <c r="AC224" s="3" t="s">
        <v>275</v>
      </c>
      <c r="AD224" s="3" t="s">
        <v>75</v>
      </c>
    </row>
    <row r="225" spans="1:30">
      <c r="A225" s="2">
        <v>46145</v>
      </c>
      <c r="B225" s="3" t="s">
        <v>30</v>
      </c>
      <c r="C225" s="3" t="s">
        <v>31</v>
      </c>
      <c r="D225" s="3" t="s">
        <v>38</v>
      </c>
      <c r="E225" s="3" t="s">
        <v>62</v>
      </c>
      <c r="F225" s="3" t="s">
        <v>63</v>
      </c>
      <c r="G225" s="4">
        <v>119.75</v>
      </c>
      <c r="H225" s="4">
        <v>118.6</v>
      </c>
      <c r="I225" s="4">
        <v>129.08000000000001</v>
      </c>
      <c r="J225" s="4">
        <v>7.4</v>
      </c>
      <c r="K225" s="4">
        <v>7.11</v>
      </c>
      <c r="L225" s="4">
        <v>17.399999999999999</v>
      </c>
      <c r="M225" s="4">
        <v>18.5</v>
      </c>
      <c r="N225" s="4">
        <v>131.43</v>
      </c>
      <c r="O225" s="4">
        <v>2214.6</v>
      </c>
      <c r="P225" s="5">
        <v>8.1199999999999994E-2</v>
      </c>
      <c r="Q225" s="5">
        <v>0.91879999999999995</v>
      </c>
      <c r="R225" s="5">
        <v>3.0200000000000001E-2</v>
      </c>
      <c r="S225" s="5">
        <v>2.0199999999999999E-2</v>
      </c>
      <c r="T225" s="5">
        <v>0.75519999999999998</v>
      </c>
      <c r="U225" s="5">
        <v>0.70409999999999995</v>
      </c>
      <c r="V225" s="5">
        <v>0.99039999999999995</v>
      </c>
      <c r="W225" s="4">
        <v>0.90239999999999998</v>
      </c>
      <c r="X225" s="6">
        <v>82947.740000000005</v>
      </c>
      <c r="Y225" s="6">
        <v>19080.13</v>
      </c>
      <c r="Z225" s="6">
        <v>5981.19</v>
      </c>
      <c r="AA225" s="6">
        <v>114360.11</v>
      </c>
      <c r="AB225" s="6">
        <v>964.27</v>
      </c>
      <c r="AC225" s="3" t="s">
        <v>276</v>
      </c>
      <c r="AD225" s="3" t="s">
        <v>49</v>
      </c>
    </row>
    <row r="226" spans="1:30">
      <c r="A226" s="2">
        <v>46146</v>
      </c>
      <c r="B226" s="3" t="s">
        <v>30</v>
      </c>
      <c r="C226" s="3" t="s">
        <v>51</v>
      </c>
      <c r="D226" s="3" t="s">
        <v>32</v>
      </c>
      <c r="E226" s="3" t="s">
        <v>46</v>
      </c>
      <c r="F226" s="3" t="s">
        <v>47</v>
      </c>
      <c r="G226" s="4">
        <v>75.72</v>
      </c>
      <c r="H226" s="4">
        <v>122.46</v>
      </c>
      <c r="I226" s="4">
        <v>125.53</v>
      </c>
      <c r="J226" s="4">
        <v>8.3800000000000008</v>
      </c>
      <c r="K226" s="4">
        <v>8.16</v>
      </c>
      <c r="L226" s="4">
        <v>13.5</v>
      </c>
      <c r="M226" s="4">
        <v>18.399999999999999</v>
      </c>
      <c r="N226" s="4">
        <v>149.69999999999999</v>
      </c>
      <c r="O226" s="4">
        <v>2305.4</v>
      </c>
      <c r="P226" s="5">
        <v>2.4400000000000002E-2</v>
      </c>
      <c r="Q226" s="5">
        <v>0.97560000000000002</v>
      </c>
      <c r="R226" s="5">
        <v>1.2E-2</v>
      </c>
      <c r="S226" s="5">
        <v>1.3299999999999999E-2</v>
      </c>
      <c r="T226" s="5">
        <v>0.89039999999999997</v>
      </c>
      <c r="U226" s="5">
        <v>0.89770000000000005</v>
      </c>
      <c r="V226" s="5">
        <v>1.6172</v>
      </c>
      <c r="W226" s="4">
        <v>0.81799999999999995</v>
      </c>
      <c r="X226" s="6">
        <v>93126.18</v>
      </c>
      <c r="Y226" s="6">
        <v>21853</v>
      </c>
      <c r="Z226" s="6">
        <v>5096.28</v>
      </c>
      <c r="AA226" s="6">
        <v>124289.43</v>
      </c>
      <c r="AB226" s="6">
        <v>1014.93</v>
      </c>
      <c r="AC226" s="3" t="s">
        <v>277</v>
      </c>
      <c r="AD226" s="3" t="s">
        <v>36</v>
      </c>
    </row>
    <row r="227" spans="1:30">
      <c r="A227" s="2">
        <v>46147</v>
      </c>
      <c r="B227" s="3" t="s">
        <v>30</v>
      </c>
      <c r="C227" s="3" t="s">
        <v>37</v>
      </c>
      <c r="D227" s="3" t="s">
        <v>38</v>
      </c>
      <c r="E227" s="3" t="s">
        <v>52</v>
      </c>
      <c r="F227" s="3" t="s">
        <v>47</v>
      </c>
      <c r="G227" s="4">
        <v>100.77</v>
      </c>
      <c r="H227" s="4">
        <v>113.22</v>
      </c>
      <c r="I227" s="4">
        <v>116.39</v>
      </c>
      <c r="J227" s="4">
        <v>8.4</v>
      </c>
      <c r="K227" s="4">
        <v>7.88</v>
      </c>
      <c r="L227" s="4">
        <v>31.1</v>
      </c>
      <c r="M227" s="4">
        <v>19.399999999999999</v>
      </c>
      <c r="N227" s="4">
        <v>153.03</v>
      </c>
      <c r="O227" s="4">
        <v>2097.6999999999998</v>
      </c>
      <c r="P227" s="5">
        <v>2.7199999999999998E-2</v>
      </c>
      <c r="Q227" s="5">
        <v>0.9728</v>
      </c>
      <c r="R227" s="5">
        <v>2.87E-2</v>
      </c>
      <c r="S227" s="5">
        <v>1.2699999999999999E-2</v>
      </c>
      <c r="T227" s="5">
        <v>0.80979999999999996</v>
      </c>
      <c r="U227" s="5">
        <v>0.78769999999999996</v>
      </c>
      <c r="V227" s="5">
        <v>1.1234999999999999</v>
      </c>
      <c r="W227" s="4">
        <v>0.73980000000000001</v>
      </c>
      <c r="X227" s="6">
        <v>80205.78</v>
      </c>
      <c r="Y227" s="6">
        <v>27931.52</v>
      </c>
      <c r="Z227" s="6">
        <v>5746.1</v>
      </c>
      <c r="AA227" s="6">
        <v>117753.99</v>
      </c>
      <c r="AB227" s="6">
        <v>1040.06</v>
      </c>
      <c r="AC227" s="3" t="s">
        <v>278</v>
      </c>
      <c r="AD227" s="3" t="s">
        <v>36</v>
      </c>
    </row>
    <row r="228" spans="1:30">
      <c r="A228" s="2">
        <v>46148</v>
      </c>
      <c r="B228" s="3" t="s">
        <v>30</v>
      </c>
      <c r="C228" s="3" t="s">
        <v>51</v>
      </c>
      <c r="D228" s="3" t="s">
        <v>45</v>
      </c>
      <c r="E228" s="3" t="s">
        <v>39</v>
      </c>
      <c r="F228" s="3" t="s">
        <v>40</v>
      </c>
      <c r="G228" s="4">
        <v>108.8</v>
      </c>
      <c r="H228" s="4">
        <v>114.68</v>
      </c>
      <c r="I228" s="4">
        <v>117.59</v>
      </c>
      <c r="J228" s="4">
        <v>7.4</v>
      </c>
      <c r="K228" s="4">
        <v>7.08</v>
      </c>
      <c r="L228" s="4">
        <v>19.399999999999999</v>
      </c>
      <c r="M228" s="4">
        <v>18.2</v>
      </c>
      <c r="N228" s="4">
        <v>128.91</v>
      </c>
      <c r="O228" s="4">
        <v>2018</v>
      </c>
      <c r="P228" s="5">
        <v>2.4799999999999999E-2</v>
      </c>
      <c r="Q228" s="5">
        <v>0.97519999999999996</v>
      </c>
      <c r="R228" s="5">
        <v>1.3899999999999999E-2</v>
      </c>
      <c r="S228" s="5">
        <v>5.7000000000000002E-3</v>
      </c>
      <c r="T228" s="5">
        <v>0.80200000000000005</v>
      </c>
      <c r="U228" s="5">
        <v>0.80059999999999998</v>
      </c>
      <c r="V228" s="5">
        <v>1.054</v>
      </c>
      <c r="W228" s="4">
        <v>0.88959999999999995</v>
      </c>
      <c r="X228" s="6">
        <v>86617.86</v>
      </c>
      <c r="Y228" s="6">
        <v>24797.06</v>
      </c>
      <c r="Z228" s="6">
        <v>4084.04</v>
      </c>
      <c r="AA228" s="6">
        <v>120647.64</v>
      </c>
      <c r="AB228" s="6">
        <v>1052.07</v>
      </c>
      <c r="AC228" s="3" t="s">
        <v>279</v>
      </c>
      <c r="AD228" s="3" t="s">
        <v>56</v>
      </c>
    </row>
    <row r="229" spans="1:30">
      <c r="A229" s="2">
        <v>46149</v>
      </c>
      <c r="B229" s="3" t="s">
        <v>30</v>
      </c>
      <c r="C229" s="3" t="s">
        <v>31</v>
      </c>
      <c r="D229" s="3" t="s">
        <v>32</v>
      </c>
      <c r="E229" s="3" t="s">
        <v>33</v>
      </c>
      <c r="F229" s="3" t="s">
        <v>34</v>
      </c>
      <c r="G229" s="4">
        <v>120.31</v>
      </c>
      <c r="H229" s="4">
        <v>113.92</v>
      </c>
      <c r="I229" s="4">
        <v>122.5</v>
      </c>
      <c r="J229" s="4">
        <v>7.9</v>
      </c>
      <c r="K229" s="4">
        <v>7.5</v>
      </c>
      <c r="L229" s="4">
        <v>24.4</v>
      </c>
      <c r="M229" s="4">
        <v>18.600000000000001</v>
      </c>
      <c r="N229" s="4">
        <v>139.78</v>
      </c>
      <c r="O229" s="4">
        <v>2083.8000000000002</v>
      </c>
      <c r="P229" s="5">
        <v>7.0000000000000007E-2</v>
      </c>
      <c r="Q229" s="5">
        <v>0.93</v>
      </c>
      <c r="R229" s="5">
        <v>4.2799999999999998E-2</v>
      </c>
      <c r="S229" s="5">
        <v>1.7299999999999999E-2</v>
      </c>
      <c r="T229" s="5">
        <v>0.86299999999999999</v>
      </c>
      <c r="U229" s="5">
        <v>0.76180000000000003</v>
      </c>
      <c r="V229" s="5">
        <v>0.94689999999999996</v>
      </c>
      <c r="W229" s="4">
        <v>0.81499999999999995</v>
      </c>
      <c r="X229" s="6">
        <v>103006.14</v>
      </c>
      <c r="Y229" s="6">
        <v>25660.45</v>
      </c>
      <c r="Z229" s="6">
        <v>5454.29</v>
      </c>
      <c r="AA229" s="6">
        <v>137325.20000000001</v>
      </c>
      <c r="AB229" s="6">
        <v>1205.43</v>
      </c>
      <c r="AC229" s="3" t="s">
        <v>280</v>
      </c>
      <c r="AD229" s="3" t="s">
        <v>36</v>
      </c>
    </row>
    <row r="230" spans="1:30">
      <c r="A230" s="2">
        <v>46150</v>
      </c>
      <c r="B230" s="3" t="s">
        <v>30</v>
      </c>
      <c r="C230" s="3" t="s">
        <v>31</v>
      </c>
      <c r="D230" s="3" t="s">
        <v>45</v>
      </c>
      <c r="E230" s="3" t="s">
        <v>62</v>
      </c>
      <c r="F230" s="3" t="s">
        <v>63</v>
      </c>
      <c r="G230" s="4">
        <v>120.66</v>
      </c>
      <c r="H230" s="4">
        <v>139.84</v>
      </c>
      <c r="I230" s="4">
        <v>149.33000000000001</v>
      </c>
      <c r="J230" s="4">
        <v>8.44</v>
      </c>
      <c r="K230" s="4">
        <v>7.93</v>
      </c>
      <c r="L230" s="4">
        <v>30.9</v>
      </c>
      <c r="M230" s="4">
        <v>18</v>
      </c>
      <c r="N230" s="4">
        <v>142.79</v>
      </c>
      <c r="O230" s="4">
        <v>2160.6999999999998</v>
      </c>
      <c r="P230" s="5">
        <v>6.3500000000000001E-2</v>
      </c>
      <c r="Q230" s="5">
        <v>0.9365</v>
      </c>
      <c r="R230" s="5">
        <v>3.61E-2</v>
      </c>
      <c r="S230" s="5">
        <v>1.7899999999999999E-2</v>
      </c>
      <c r="T230" s="5">
        <v>0.80869999999999997</v>
      </c>
      <c r="U230" s="5">
        <v>0.78310000000000002</v>
      </c>
      <c r="V230" s="5">
        <v>1.159</v>
      </c>
      <c r="W230" s="4">
        <v>0.97929999999999995</v>
      </c>
      <c r="X230" s="6">
        <v>124848.99</v>
      </c>
      <c r="Y230" s="6">
        <v>21822.38</v>
      </c>
      <c r="Z230" s="6">
        <v>5144.3999999999996</v>
      </c>
      <c r="AA230" s="6">
        <v>154726.46</v>
      </c>
      <c r="AB230" s="6">
        <v>1106.48</v>
      </c>
      <c r="AC230" s="3" t="s">
        <v>281</v>
      </c>
      <c r="AD230" s="3" t="s">
        <v>36</v>
      </c>
    </row>
    <row r="231" spans="1:30">
      <c r="A231" s="2">
        <v>46151</v>
      </c>
      <c r="B231" s="3" t="s">
        <v>30</v>
      </c>
      <c r="C231" s="3" t="s">
        <v>42</v>
      </c>
      <c r="D231" s="3" t="s">
        <v>45</v>
      </c>
      <c r="E231" s="3" t="s">
        <v>43</v>
      </c>
      <c r="F231" s="3" t="s">
        <v>40</v>
      </c>
      <c r="G231" s="4">
        <v>98.49</v>
      </c>
      <c r="H231" s="4">
        <v>146.97999999999999</v>
      </c>
      <c r="I231" s="4">
        <v>156.04</v>
      </c>
      <c r="J231" s="4">
        <v>8.14</v>
      </c>
      <c r="K231" s="4">
        <v>7.78</v>
      </c>
      <c r="L231" s="4">
        <v>21.8</v>
      </c>
      <c r="M231" s="4">
        <v>16.7</v>
      </c>
      <c r="N231" s="4">
        <v>129.63</v>
      </c>
      <c r="O231" s="4">
        <v>2309.9</v>
      </c>
      <c r="P231" s="5">
        <v>5.8099999999999999E-2</v>
      </c>
      <c r="Q231" s="5">
        <v>0.94189999999999996</v>
      </c>
      <c r="R231" s="5">
        <v>1.8100000000000002E-2</v>
      </c>
      <c r="S231" s="5">
        <v>5.4000000000000003E-3</v>
      </c>
      <c r="T231" s="5">
        <v>0.83879999999999999</v>
      </c>
      <c r="U231" s="5">
        <v>0.83689999999999998</v>
      </c>
      <c r="V231" s="5">
        <v>1.4923</v>
      </c>
      <c r="W231" s="4">
        <v>1.1337999999999999</v>
      </c>
      <c r="X231" s="6">
        <v>112121.92</v>
      </c>
      <c r="Y231" s="6">
        <v>20422.97</v>
      </c>
      <c r="Z231" s="6">
        <v>6445.71</v>
      </c>
      <c r="AA231" s="6">
        <v>143143.57</v>
      </c>
      <c r="AB231" s="6">
        <v>973.9</v>
      </c>
      <c r="AC231" s="3" t="s">
        <v>282</v>
      </c>
      <c r="AD231" s="3" t="s">
        <v>36</v>
      </c>
    </row>
    <row r="232" spans="1:30">
      <c r="A232" s="2">
        <v>46152</v>
      </c>
      <c r="B232" s="3" t="s">
        <v>30</v>
      </c>
      <c r="C232" s="3" t="s">
        <v>51</v>
      </c>
      <c r="D232" s="3" t="s">
        <v>32</v>
      </c>
      <c r="E232" s="3" t="s">
        <v>43</v>
      </c>
      <c r="F232" s="3" t="s">
        <v>40</v>
      </c>
      <c r="G232" s="4">
        <v>76.010000000000005</v>
      </c>
      <c r="H232" s="4">
        <v>147.16</v>
      </c>
      <c r="I232" s="4">
        <v>153.31</v>
      </c>
      <c r="J232" s="4">
        <v>8.33</v>
      </c>
      <c r="K232" s="4">
        <v>8.08</v>
      </c>
      <c r="L232" s="4">
        <v>15.1</v>
      </c>
      <c r="M232" s="4">
        <v>16.100000000000001</v>
      </c>
      <c r="N232" s="4">
        <v>130.47999999999999</v>
      </c>
      <c r="O232" s="4">
        <v>2707.6</v>
      </c>
      <c r="P232" s="5">
        <v>4.0099999999999997E-2</v>
      </c>
      <c r="Q232" s="5">
        <v>0.95989999999999998</v>
      </c>
      <c r="R232" s="5">
        <v>3.7600000000000001E-2</v>
      </c>
      <c r="S232" s="5">
        <v>1.12E-2</v>
      </c>
      <c r="T232" s="5">
        <v>0.83960000000000001</v>
      </c>
      <c r="U232" s="5">
        <v>0.84540000000000004</v>
      </c>
      <c r="V232" s="5">
        <v>1.9359999999999999</v>
      </c>
      <c r="W232" s="4">
        <v>1.1278999999999999</v>
      </c>
      <c r="X232" s="6">
        <v>123887.8</v>
      </c>
      <c r="Y232" s="6">
        <v>23029.200000000001</v>
      </c>
      <c r="Z232" s="6">
        <v>6839.65</v>
      </c>
      <c r="AA232" s="6">
        <v>159684.79999999999</v>
      </c>
      <c r="AB232" s="6">
        <v>1085.0999999999999</v>
      </c>
      <c r="AC232" s="3" t="s">
        <v>283</v>
      </c>
      <c r="AD232" s="3" t="s">
        <v>36</v>
      </c>
    </row>
    <row r="233" spans="1:30">
      <c r="A233" s="2">
        <v>46153</v>
      </c>
      <c r="B233" s="3" t="s">
        <v>30</v>
      </c>
      <c r="C233" s="3" t="s">
        <v>31</v>
      </c>
      <c r="D233" s="3" t="s">
        <v>45</v>
      </c>
      <c r="E233" s="3" t="s">
        <v>33</v>
      </c>
      <c r="F233" s="3" t="s">
        <v>34</v>
      </c>
      <c r="G233" s="4">
        <v>135.51</v>
      </c>
      <c r="H233" s="4">
        <v>131.36000000000001</v>
      </c>
      <c r="I233" s="4">
        <v>138.11000000000001</v>
      </c>
      <c r="J233" s="4">
        <v>7.98</v>
      </c>
      <c r="K233" s="4">
        <v>7.87</v>
      </c>
      <c r="L233" s="4">
        <v>6.9</v>
      </c>
      <c r="M233" s="4">
        <v>15.5</v>
      </c>
      <c r="N233" s="4">
        <v>122.02</v>
      </c>
      <c r="O233" s="4">
        <v>2119.6</v>
      </c>
      <c r="P233" s="5">
        <v>4.8899999999999999E-2</v>
      </c>
      <c r="Q233" s="5">
        <v>0.95109999999999995</v>
      </c>
      <c r="R233" s="5">
        <v>4.1200000000000001E-2</v>
      </c>
      <c r="S233" s="5">
        <v>8.6999999999999994E-3</v>
      </c>
      <c r="T233" s="5">
        <v>0.89349999999999996</v>
      </c>
      <c r="U233" s="5">
        <v>0.84619999999999995</v>
      </c>
      <c r="V233" s="5">
        <v>0.96940000000000004</v>
      </c>
      <c r="W233" s="4">
        <v>1.0765</v>
      </c>
      <c r="X233" s="6">
        <v>104542.28</v>
      </c>
      <c r="Y233" s="6">
        <v>18273.13</v>
      </c>
      <c r="Z233" s="6">
        <v>5265.15</v>
      </c>
      <c r="AA233" s="6">
        <v>133447.42000000001</v>
      </c>
      <c r="AB233" s="6">
        <v>1015.88</v>
      </c>
      <c r="AC233" s="3" t="s">
        <v>284</v>
      </c>
      <c r="AD233" s="3" t="s">
        <v>36</v>
      </c>
    </row>
    <row r="234" spans="1:30">
      <c r="A234" s="2">
        <v>46154</v>
      </c>
      <c r="B234" s="3" t="s">
        <v>30</v>
      </c>
      <c r="C234" s="3" t="s">
        <v>37</v>
      </c>
      <c r="D234" s="3" t="s">
        <v>45</v>
      </c>
      <c r="E234" s="3" t="s">
        <v>43</v>
      </c>
      <c r="F234" s="3" t="s">
        <v>40</v>
      </c>
      <c r="G234" s="4">
        <v>124.79</v>
      </c>
      <c r="H234" s="4">
        <v>131.16999999999999</v>
      </c>
      <c r="I234" s="4">
        <v>137.88999999999999</v>
      </c>
      <c r="J234" s="4">
        <v>7.89</v>
      </c>
      <c r="K234" s="4">
        <v>7.71</v>
      </c>
      <c r="L234" s="4">
        <v>10.9</v>
      </c>
      <c r="M234" s="4">
        <v>14.5</v>
      </c>
      <c r="N234" s="4">
        <v>111.68</v>
      </c>
      <c r="O234" s="4">
        <v>2116.1999999999998</v>
      </c>
      <c r="P234" s="5">
        <v>4.87E-2</v>
      </c>
      <c r="Q234" s="5">
        <v>0.95130000000000003</v>
      </c>
      <c r="R234" s="5">
        <v>3.5000000000000003E-2</v>
      </c>
      <c r="S234" s="5">
        <v>1.5E-3</v>
      </c>
      <c r="T234" s="5">
        <v>0.84289999999999998</v>
      </c>
      <c r="U234" s="5">
        <v>0.86350000000000005</v>
      </c>
      <c r="V234" s="5">
        <v>1.0511999999999999</v>
      </c>
      <c r="W234" s="4">
        <v>1.1745000000000001</v>
      </c>
      <c r="X234" s="6">
        <v>116826.91</v>
      </c>
      <c r="Y234" s="6">
        <v>18538.72</v>
      </c>
      <c r="Z234" s="6">
        <v>4672.22</v>
      </c>
      <c r="AA234" s="6">
        <v>146346.39000000001</v>
      </c>
      <c r="AB234" s="6">
        <v>1115.7</v>
      </c>
      <c r="AC234" s="3" t="s">
        <v>285</v>
      </c>
      <c r="AD234" s="3" t="s">
        <v>36</v>
      </c>
    </row>
    <row r="235" spans="1:30">
      <c r="A235" s="2">
        <v>46155</v>
      </c>
      <c r="B235" s="3" t="s">
        <v>30</v>
      </c>
      <c r="C235" s="3" t="s">
        <v>31</v>
      </c>
      <c r="D235" s="3" t="s">
        <v>38</v>
      </c>
      <c r="E235" s="3" t="s">
        <v>46</v>
      </c>
      <c r="F235" s="3" t="s">
        <v>47</v>
      </c>
      <c r="G235" s="4">
        <v>82.33</v>
      </c>
      <c r="H235" s="4">
        <v>114.98</v>
      </c>
      <c r="I235" s="4">
        <v>119.78</v>
      </c>
      <c r="J235" s="4">
        <v>7.71</v>
      </c>
      <c r="K235" s="4">
        <v>7.5</v>
      </c>
      <c r="L235" s="4">
        <v>12.8</v>
      </c>
      <c r="M235" s="4">
        <v>15.6</v>
      </c>
      <c r="N235" s="4">
        <v>117.25</v>
      </c>
      <c r="O235" s="4">
        <v>1871.7</v>
      </c>
      <c r="P235" s="5">
        <v>4.0099999999999997E-2</v>
      </c>
      <c r="Q235" s="5">
        <v>0.95989999999999998</v>
      </c>
      <c r="R235" s="5">
        <v>3.32E-2</v>
      </c>
      <c r="S235" s="5">
        <v>1.8499999999999999E-2</v>
      </c>
      <c r="T235" s="5">
        <v>0.82</v>
      </c>
      <c r="U235" s="5">
        <v>0.8216</v>
      </c>
      <c r="V235" s="5">
        <v>1.3966000000000001</v>
      </c>
      <c r="W235" s="4">
        <v>0.98060000000000003</v>
      </c>
      <c r="X235" s="6">
        <v>91945.71</v>
      </c>
      <c r="Y235" s="6">
        <v>17692.64</v>
      </c>
      <c r="Z235" s="6">
        <v>4935.01</v>
      </c>
      <c r="AA235" s="6">
        <v>118783.39</v>
      </c>
      <c r="AB235" s="6">
        <v>1033.0899999999999</v>
      </c>
      <c r="AC235" s="3" t="s">
        <v>286</v>
      </c>
      <c r="AD235" s="3" t="s">
        <v>36</v>
      </c>
    </row>
    <row r="236" spans="1:30">
      <c r="A236" s="2">
        <v>46156</v>
      </c>
      <c r="B236" s="3" t="s">
        <v>30</v>
      </c>
      <c r="C236" s="3" t="s">
        <v>31</v>
      </c>
      <c r="D236" s="3" t="s">
        <v>45</v>
      </c>
      <c r="E236" s="3" t="s">
        <v>62</v>
      </c>
      <c r="F236" s="3" t="s">
        <v>63</v>
      </c>
      <c r="G236" s="4">
        <v>102.59</v>
      </c>
      <c r="H236" s="4">
        <v>98.96</v>
      </c>
      <c r="I236" s="4">
        <v>101.06</v>
      </c>
      <c r="J236" s="4">
        <v>7.8</v>
      </c>
      <c r="K236" s="4">
        <v>7.62</v>
      </c>
      <c r="L236" s="4">
        <v>10.4</v>
      </c>
      <c r="M236" s="4">
        <v>17.5</v>
      </c>
      <c r="N236" s="4">
        <v>133.13</v>
      </c>
      <c r="O236" s="4">
        <v>1850.8</v>
      </c>
      <c r="P236" s="5">
        <v>2.07E-2</v>
      </c>
      <c r="Q236" s="5">
        <v>0.97929999999999995</v>
      </c>
      <c r="R236" s="5">
        <v>3.3E-3</v>
      </c>
      <c r="S236" s="5">
        <v>1.2999999999999999E-3</v>
      </c>
      <c r="T236" s="5">
        <v>0.87709999999999999</v>
      </c>
      <c r="U236" s="5">
        <v>0.82620000000000005</v>
      </c>
      <c r="V236" s="5">
        <v>0.9647</v>
      </c>
      <c r="W236" s="4">
        <v>0.74329999999999996</v>
      </c>
      <c r="X236" s="6">
        <v>88860.32</v>
      </c>
      <c r="Y236" s="6">
        <v>22108.21</v>
      </c>
      <c r="Z236" s="6">
        <v>3853.13</v>
      </c>
      <c r="AA236" s="6">
        <v>118925.48</v>
      </c>
      <c r="AB236" s="6">
        <v>1201.72</v>
      </c>
      <c r="AC236" s="3" t="s">
        <v>287</v>
      </c>
      <c r="AD236" s="3" t="s">
        <v>36</v>
      </c>
    </row>
    <row r="237" spans="1:30">
      <c r="A237" s="2">
        <v>46157</v>
      </c>
      <c r="B237" s="3" t="s">
        <v>30</v>
      </c>
      <c r="C237" s="3" t="s">
        <v>37</v>
      </c>
      <c r="D237" s="3" t="s">
        <v>45</v>
      </c>
      <c r="E237" s="3" t="s">
        <v>46</v>
      </c>
      <c r="F237" s="3" t="s">
        <v>47</v>
      </c>
      <c r="G237" s="4">
        <v>133.19</v>
      </c>
      <c r="H237" s="4">
        <v>107.25</v>
      </c>
      <c r="I237" s="4">
        <v>114.52</v>
      </c>
      <c r="J237" s="4">
        <v>8.43</v>
      </c>
      <c r="K237" s="4">
        <v>8.26</v>
      </c>
      <c r="L237" s="4">
        <v>10.3</v>
      </c>
      <c r="M237" s="4">
        <v>17</v>
      </c>
      <c r="N237" s="4">
        <v>140.1</v>
      </c>
      <c r="O237" s="4">
        <v>2000.4</v>
      </c>
      <c r="P237" s="5">
        <v>6.3399999999999998E-2</v>
      </c>
      <c r="Q237" s="5">
        <v>0.93659999999999999</v>
      </c>
      <c r="R237" s="5">
        <v>5.2299999999999999E-2</v>
      </c>
      <c r="S237" s="5">
        <v>2.8400000000000002E-2</v>
      </c>
      <c r="T237" s="5">
        <v>0.77070000000000005</v>
      </c>
      <c r="U237" s="5">
        <v>0.59079999999999999</v>
      </c>
      <c r="V237" s="5">
        <v>0.80530000000000002</v>
      </c>
      <c r="W237" s="4">
        <v>0.76559999999999995</v>
      </c>
      <c r="X237" s="6">
        <v>95517.81</v>
      </c>
      <c r="Y237" s="6">
        <v>25270.720000000001</v>
      </c>
      <c r="Z237" s="6">
        <v>4517.88</v>
      </c>
      <c r="AA237" s="6">
        <v>129649.93</v>
      </c>
      <c r="AB237" s="6">
        <v>1208.81</v>
      </c>
      <c r="AC237" s="3" t="s">
        <v>288</v>
      </c>
      <c r="AD237" s="3" t="s">
        <v>36</v>
      </c>
    </row>
    <row r="238" spans="1:30">
      <c r="A238" s="2">
        <v>46158</v>
      </c>
      <c r="B238" s="3" t="s">
        <v>30</v>
      </c>
      <c r="C238" s="3" t="s">
        <v>51</v>
      </c>
      <c r="D238" s="3" t="s">
        <v>38</v>
      </c>
      <c r="E238" s="3" t="s">
        <v>62</v>
      </c>
      <c r="F238" s="3" t="s">
        <v>63</v>
      </c>
      <c r="G238" s="4">
        <v>63.18</v>
      </c>
      <c r="H238" s="4">
        <v>128.31</v>
      </c>
      <c r="I238" s="4">
        <v>136.49</v>
      </c>
      <c r="J238" s="4">
        <v>7.62</v>
      </c>
      <c r="K238" s="4">
        <v>7.23</v>
      </c>
      <c r="L238" s="4">
        <v>23.8</v>
      </c>
      <c r="M238" s="4">
        <v>19.2</v>
      </c>
      <c r="N238" s="4">
        <v>138.52000000000001</v>
      </c>
      <c r="O238" s="4">
        <v>2205.4</v>
      </c>
      <c r="P238" s="5">
        <v>5.9900000000000002E-2</v>
      </c>
      <c r="Q238" s="5">
        <v>0.94010000000000005</v>
      </c>
      <c r="R238" s="5">
        <v>2.5499999999999998E-2</v>
      </c>
      <c r="S238" s="5">
        <v>2.1399999999999999E-2</v>
      </c>
      <c r="T238" s="5">
        <v>0.9294</v>
      </c>
      <c r="U238" s="5">
        <v>0.90529999999999999</v>
      </c>
      <c r="V238" s="5">
        <v>2.0308999999999999</v>
      </c>
      <c r="W238" s="4">
        <v>0.92630000000000001</v>
      </c>
      <c r="X238" s="6">
        <v>113239.67999999999</v>
      </c>
      <c r="Y238" s="6">
        <v>20434.43</v>
      </c>
      <c r="Z238" s="6">
        <v>5454.35</v>
      </c>
      <c r="AA238" s="6">
        <v>142934.84</v>
      </c>
      <c r="AB238" s="6">
        <v>1113.98</v>
      </c>
      <c r="AC238" s="3" t="s">
        <v>289</v>
      </c>
      <c r="AD238" s="3" t="s">
        <v>59</v>
      </c>
    </row>
    <row r="239" spans="1:30">
      <c r="A239" s="2">
        <v>46159</v>
      </c>
      <c r="B239" s="3" t="s">
        <v>30</v>
      </c>
      <c r="C239" s="3" t="s">
        <v>31</v>
      </c>
      <c r="D239" s="3" t="s">
        <v>45</v>
      </c>
      <c r="E239" s="3" t="s">
        <v>33</v>
      </c>
      <c r="F239" s="3" t="s">
        <v>34</v>
      </c>
      <c r="G239" s="4">
        <v>137.56</v>
      </c>
      <c r="H239" s="4">
        <v>107.38</v>
      </c>
      <c r="I239" s="4">
        <v>114.1</v>
      </c>
      <c r="J239" s="4">
        <v>8.15</v>
      </c>
      <c r="K239" s="4">
        <v>8.0500000000000007</v>
      </c>
      <c r="L239" s="4">
        <v>5.9</v>
      </c>
      <c r="M239" s="4">
        <v>19.8</v>
      </c>
      <c r="N239" s="4">
        <v>159.31</v>
      </c>
      <c r="O239" s="4">
        <v>1844.6</v>
      </c>
      <c r="P239" s="5">
        <v>5.8900000000000001E-2</v>
      </c>
      <c r="Q239" s="5">
        <v>0.94110000000000005</v>
      </c>
      <c r="R239" s="5">
        <v>4.36E-2</v>
      </c>
      <c r="S239" s="5">
        <v>1.5100000000000001E-2</v>
      </c>
      <c r="T239" s="5">
        <v>0.79310000000000003</v>
      </c>
      <c r="U239" s="5">
        <v>0.60250000000000004</v>
      </c>
      <c r="V239" s="5">
        <v>0.78059999999999996</v>
      </c>
      <c r="W239" s="4">
        <v>0.67410000000000003</v>
      </c>
      <c r="X239" s="6">
        <v>80264.289999999994</v>
      </c>
      <c r="Y239" s="6">
        <v>25950.93</v>
      </c>
      <c r="Z239" s="6">
        <v>4029.58</v>
      </c>
      <c r="AA239" s="6">
        <v>114651.04</v>
      </c>
      <c r="AB239" s="6">
        <v>1067.67</v>
      </c>
      <c r="AC239" s="3" t="s">
        <v>290</v>
      </c>
      <c r="AD239" s="3" t="s">
        <v>59</v>
      </c>
    </row>
    <row r="240" spans="1:30">
      <c r="A240" s="2">
        <v>46160</v>
      </c>
      <c r="B240" s="3" t="s">
        <v>30</v>
      </c>
      <c r="C240" s="3" t="s">
        <v>31</v>
      </c>
      <c r="D240" s="3" t="s">
        <v>45</v>
      </c>
      <c r="E240" s="3" t="s">
        <v>46</v>
      </c>
      <c r="F240" s="3" t="s">
        <v>47</v>
      </c>
      <c r="G240" s="4">
        <v>70.02</v>
      </c>
      <c r="H240" s="4">
        <v>111.41</v>
      </c>
      <c r="I240" s="4">
        <v>118.63</v>
      </c>
      <c r="J240" s="4">
        <v>7.39</v>
      </c>
      <c r="K240" s="4">
        <v>7.04</v>
      </c>
      <c r="L240" s="4">
        <v>21.1</v>
      </c>
      <c r="M240" s="4">
        <v>13.8</v>
      </c>
      <c r="N240" s="4">
        <v>97.47</v>
      </c>
      <c r="O240" s="4">
        <v>2043</v>
      </c>
      <c r="P240" s="5">
        <v>6.0900000000000003E-2</v>
      </c>
      <c r="Q240" s="5">
        <v>0.93910000000000005</v>
      </c>
      <c r="R240" s="5">
        <v>2.2100000000000002E-2</v>
      </c>
      <c r="S240" s="5">
        <v>1.43E-2</v>
      </c>
      <c r="T240" s="5">
        <v>0.9012</v>
      </c>
      <c r="U240" s="5">
        <v>0.88829999999999998</v>
      </c>
      <c r="V240" s="5">
        <v>1.5911</v>
      </c>
      <c r="W240" s="4">
        <v>1.1431</v>
      </c>
      <c r="X240" s="6">
        <v>74315.960000000006</v>
      </c>
      <c r="Y240" s="6">
        <v>18796.810000000001</v>
      </c>
      <c r="Z240" s="6">
        <v>4410.13</v>
      </c>
      <c r="AA240" s="6">
        <v>103372.47</v>
      </c>
      <c r="AB240" s="6">
        <v>927.82</v>
      </c>
      <c r="AC240" s="3" t="s">
        <v>291</v>
      </c>
      <c r="AD240" s="3" t="s">
        <v>49</v>
      </c>
    </row>
    <row r="241" spans="1:30">
      <c r="A241" s="2">
        <v>46161</v>
      </c>
      <c r="B241" s="3" t="s">
        <v>30</v>
      </c>
      <c r="C241" s="3" t="s">
        <v>31</v>
      </c>
      <c r="D241" s="3" t="s">
        <v>32</v>
      </c>
      <c r="E241" s="3" t="s">
        <v>52</v>
      </c>
      <c r="F241" s="3" t="s">
        <v>47</v>
      </c>
      <c r="G241" s="4">
        <v>115.4</v>
      </c>
      <c r="H241" s="4">
        <v>90.25</v>
      </c>
      <c r="I241" s="4">
        <v>96.66</v>
      </c>
      <c r="J241" s="4">
        <v>7.55</v>
      </c>
      <c r="K241" s="4">
        <v>7.26</v>
      </c>
      <c r="L241" s="4">
        <v>17.3</v>
      </c>
      <c r="M241" s="4">
        <v>13.5</v>
      </c>
      <c r="N241" s="4">
        <v>98.07</v>
      </c>
      <c r="O241" s="4">
        <v>1797.8</v>
      </c>
      <c r="P241" s="5">
        <v>6.6299999999999998E-2</v>
      </c>
      <c r="Q241" s="5">
        <v>0.93369999999999997</v>
      </c>
      <c r="R241" s="5">
        <v>0.04</v>
      </c>
      <c r="S241" s="5">
        <v>9.5999999999999992E-3</v>
      </c>
      <c r="T241" s="5">
        <v>0.70679999999999998</v>
      </c>
      <c r="U241" s="5">
        <v>0.52649999999999997</v>
      </c>
      <c r="V241" s="5">
        <v>0.78200000000000003</v>
      </c>
      <c r="W241" s="4">
        <v>0.92030000000000001</v>
      </c>
      <c r="X241" s="6">
        <v>72193.58</v>
      </c>
      <c r="Y241" s="6">
        <v>18347.900000000001</v>
      </c>
      <c r="Z241" s="6">
        <v>3784.92</v>
      </c>
      <c r="AA241" s="6">
        <v>98431.74</v>
      </c>
      <c r="AB241" s="6">
        <v>1090.6600000000001</v>
      </c>
      <c r="AC241" s="3" t="s">
        <v>292</v>
      </c>
      <c r="AD241" s="3" t="s">
        <v>36</v>
      </c>
    </row>
    <row r="242" spans="1:30">
      <c r="A242" s="2">
        <v>46162</v>
      </c>
      <c r="B242" s="3" t="s">
        <v>30</v>
      </c>
      <c r="C242" s="3" t="s">
        <v>51</v>
      </c>
      <c r="D242" s="3" t="s">
        <v>32</v>
      </c>
      <c r="E242" s="3" t="s">
        <v>46</v>
      </c>
      <c r="F242" s="3" t="s">
        <v>47</v>
      </c>
      <c r="G242" s="4">
        <v>83.67</v>
      </c>
      <c r="H242" s="4">
        <v>186.11</v>
      </c>
      <c r="I242" s="4">
        <v>198.05</v>
      </c>
      <c r="J242" s="4">
        <v>8.27</v>
      </c>
      <c r="K242" s="4">
        <v>8.2100000000000009</v>
      </c>
      <c r="L242" s="4">
        <v>3.4</v>
      </c>
      <c r="M242" s="4">
        <v>19.2</v>
      </c>
      <c r="N242" s="4">
        <v>157.4</v>
      </c>
      <c r="O242" s="4">
        <v>2779.1</v>
      </c>
      <c r="P242" s="5">
        <v>6.0299999999999999E-2</v>
      </c>
      <c r="Q242" s="5">
        <v>0.93969999999999998</v>
      </c>
      <c r="R242" s="5">
        <v>2.86E-2</v>
      </c>
      <c r="S242" s="5">
        <v>6.1000000000000004E-3</v>
      </c>
      <c r="T242" s="5">
        <v>0.95689999999999997</v>
      </c>
      <c r="U242" s="5">
        <v>0.9919</v>
      </c>
      <c r="V242" s="5">
        <v>2.2242999999999999</v>
      </c>
      <c r="W242" s="4">
        <v>1.1823999999999999</v>
      </c>
      <c r="X242" s="6">
        <v>123881.65</v>
      </c>
      <c r="Y242" s="6">
        <v>29710.36</v>
      </c>
      <c r="Z242" s="6">
        <v>7314.8</v>
      </c>
      <c r="AA242" s="6">
        <v>165492.62</v>
      </c>
      <c r="AB242" s="6">
        <v>889.21</v>
      </c>
      <c r="AC242" s="3" t="s">
        <v>293</v>
      </c>
      <c r="AD242" s="3" t="s">
        <v>36</v>
      </c>
    </row>
    <row r="243" spans="1:30">
      <c r="A243" s="2">
        <v>46163</v>
      </c>
      <c r="B243" s="3" t="s">
        <v>30</v>
      </c>
      <c r="C243" s="3" t="s">
        <v>37</v>
      </c>
      <c r="D243" s="3" t="s">
        <v>45</v>
      </c>
      <c r="E243" s="3" t="s">
        <v>62</v>
      </c>
      <c r="F243" s="3" t="s">
        <v>63</v>
      </c>
      <c r="G243" s="4">
        <v>84.91</v>
      </c>
      <c r="H243" s="4">
        <v>140.52000000000001</v>
      </c>
      <c r="I243" s="4">
        <v>148.16</v>
      </c>
      <c r="J243" s="4">
        <v>8.06</v>
      </c>
      <c r="K243" s="4">
        <v>7.97</v>
      </c>
      <c r="L243" s="4">
        <v>5.2</v>
      </c>
      <c r="M243" s="4">
        <v>14.9</v>
      </c>
      <c r="N243" s="4">
        <v>118.93</v>
      </c>
      <c r="O243" s="4">
        <v>2129.6999999999998</v>
      </c>
      <c r="P243" s="5">
        <v>5.16E-2</v>
      </c>
      <c r="Q243" s="5">
        <v>0.94840000000000002</v>
      </c>
      <c r="R243" s="5">
        <v>3.9199999999999999E-2</v>
      </c>
      <c r="S243" s="5">
        <v>1.32E-2</v>
      </c>
      <c r="T243" s="5">
        <v>0.76800000000000002</v>
      </c>
      <c r="U243" s="5">
        <v>0.78720000000000001</v>
      </c>
      <c r="V243" s="5">
        <v>1.6548</v>
      </c>
      <c r="W243" s="4">
        <v>1.1815</v>
      </c>
      <c r="X243" s="6">
        <v>107245.79</v>
      </c>
      <c r="Y243" s="6">
        <v>18560.830000000002</v>
      </c>
      <c r="Z243" s="6">
        <v>5073.2700000000004</v>
      </c>
      <c r="AA243" s="6">
        <v>136370.64000000001</v>
      </c>
      <c r="AB243" s="6">
        <v>970.5</v>
      </c>
      <c r="AC243" s="3" t="s">
        <v>294</v>
      </c>
      <c r="AD243" s="3" t="s">
        <v>75</v>
      </c>
    </row>
    <row r="244" spans="1:30">
      <c r="A244" s="2">
        <v>46164</v>
      </c>
      <c r="B244" s="3" t="s">
        <v>30</v>
      </c>
      <c r="C244" s="3" t="s">
        <v>51</v>
      </c>
      <c r="D244" s="3" t="s">
        <v>45</v>
      </c>
      <c r="E244" s="3" t="s">
        <v>52</v>
      </c>
      <c r="F244" s="3" t="s">
        <v>47</v>
      </c>
      <c r="G244" s="4">
        <v>107.79</v>
      </c>
      <c r="H244" s="4">
        <v>125.42</v>
      </c>
      <c r="I244" s="4">
        <v>131.62</v>
      </c>
      <c r="J244" s="4">
        <v>7.52</v>
      </c>
      <c r="K244" s="4">
        <v>7.15</v>
      </c>
      <c r="L244" s="4">
        <v>21.8</v>
      </c>
      <c r="M244" s="4">
        <v>20.9</v>
      </c>
      <c r="N244" s="4">
        <v>149.36000000000001</v>
      </c>
      <c r="O244" s="4">
        <v>2207.6999999999998</v>
      </c>
      <c r="P244" s="5">
        <v>4.7100000000000003E-2</v>
      </c>
      <c r="Q244" s="5">
        <v>0.95289999999999997</v>
      </c>
      <c r="R244" s="5">
        <v>2.1999999999999999E-2</v>
      </c>
      <c r="S244" s="5">
        <v>1.04E-2</v>
      </c>
      <c r="T244" s="5">
        <v>0.88070000000000004</v>
      </c>
      <c r="U244" s="5">
        <v>0.87080000000000002</v>
      </c>
      <c r="V244" s="5">
        <v>1.1635</v>
      </c>
      <c r="W244" s="4">
        <v>0.8397</v>
      </c>
      <c r="X244" s="6">
        <v>99582.6</v>
      </c>
      <c r="Y244" s="6">
        <v>22724.69</v>
      </c>
      <c r="Z244" s="6">
        <v>5130.5200000000004</v>
      </c>
      <c r="AA244" s="6">
        <v>133854.47</v>
      </c>
      <c r="AB244" s="6">
        <v>1067.24</v>
      </c>
      <c r="AC244" s="3" t="s">
        <v>295</v>
      </c>
      <c r="AD244" s="3" t="s">
        <v>56</v>
      </c>
    </row>
    <row r="245" spans="1:30">
      <c r="A245" s="2">
        <v>46165</v>
      </c>
      <c r="B245" s="3" t="s">
        <v>30</v>
      </c>
      <c r="C245" s="3" t="s">
        <v>51</v>
      </c>
      <c r="D245" s="3" t="s">
        <v>45</v>
      </c>
      <c r="E245" s="3" t="s">
        <v>52</v>
      </c>
      <c r="F245" s="3" t="s">
        <v>47</v>
      </c>
      <c r="G245" s="4">
        <v>127.85</v>
      </c>
      <c r="H245" s="4">
        <v>140.65</v>
      </c>
      <c r="I245" s="4">
        <v>146.79</v>
      </c>
      <c r="J245" s="4">
        <v>7.99</v>
      </c>
      <c r="K245" s="4">
        <v>7.67</v>
      </c>
      <c r="L245" s="4">
        <v>19.399999999999999</v>
      </c>
      <c r="M245" s="4">
        <v>19.600000000000001</v>
      </c>
      <c r="N245" s="4">
        <v>149.96</v>
      </c>
      <c r="O245" s="4">
        <v>2280.1</v>
      </c>
      <c r="P245" s="5">
        <v>4.1799999999999997E-2</v>
      </c>
      <c r="Q245" s="5">
        <v>0.95820000000000005</v>
      </c>
      <c r="R245" s="5">
        <v>2.1399999999999999E-2</v>
      </c>
      <c r="S245" s="5">
        <v>2.2200000000000001E-2</v>
      </c>
      <c r="T245" s="5">
        <v>0.80800000000000005</v>
      </c>
      <c r="U245" s="5">
        <v>0.79610000000000003</v>
      </c>
      <c r="V245" s="5">
        <v>1.1001000000000001</v>
      </c>
      <c r="W245" s="4">
        <v>0.93789999999999996</v>
      </c>
      <c r="X245" s="6">
        <v>92160.1</v>
      </c>
      <c r="Y245" s="6">
        <v>23475.67</v>
      </c>
      <c r="Z245" s="6">
        <v>4581.93</v>
      </c>
      <c r="AA245" s="6">
        <v>124231.5</v>
      </c>
      <c r="AB245" s="6">
        <v>883.28</v>
      </c>
      <c r="AC245" s="3" t="s">
        <v>296</v>
      </c>
      <c r="AD245" s="3" t="s">
        <v>36</v>
      </c>
    </row>
    <row r="246" spans="1:30">
      <c r="A246" s="2">
        <v>46166</v>
      </c>
      <c r="B246" s="3" t="s">
        <v>30</v>
      </c>
      <c r="C246" s="3" t="s">
        <v>37</v>
      </c>
      <c r="D246" s="3" t="s">
        <v>32</v>
      </c>
      <c r="E246" s="3" t="s">
        <v>33</v>
      </c>
      <c r="F246" s="3" t="s">
        <v>34</v>
      </c>
      <c r="G246" s="4">
        <v>98.08</v>
      </c>
      <c r="H246" s="4">
        <v>98.59</v>
      </c>
      <c r="I246" s="4">
        <v>104.29</v>
      </c>
      <c r="J246" s="4">
        <v>8.4499999999999993</v>
      </c>
      <c r="K246" s="4">
        <v>8.35</v>
      </c>
      <c r="L246" s="4">
        <v>5.7</v>
      </c>
      <c r="M246" s="4">
        <v>17.8</v>
      </c>
      <c r="N246" s="4">
        <v>148.26</v>
      </c>
      <c r="O246" s="4">
        <v>1806.6</v>
      </c>
      <c r="P246" s="5">
        <v>5.4699999999999999E-2</v>
      </c>
      <c r="Q246" s="5">
        <v>0.94530000000000003</v>
      </c>
      <c r="R246" s="5">
        <v>3.4799999999999998E-2</v>
      </c>
      <c r="S246" s="5">
        <v>1.9699999999999999E-2</v>
      </c>
      <c r="T246" s="5">
        <v>0.63119999999999998</v>
      </c>
      <c r="U246" s="5">
        <v>0.6149</v>
      </c>
      <c r="V246" s="5">
        <v>1.0052000000000001</v>
      </c>
      <c r="W246" s="4">
        <v>0.66500000000000004</v>
      </c>
      <c r="X246" s="6">
        <v>87924.9</v>
      </c>
      <c r="Y246" s="6">
        <v>23549.48</v>
      </c>
      <c r="Z246" s="6">
        <v>3725.13</v>
      </c>
      <c r="AA246" s="6">
        <v>120843.26</v>
      </c>
      <c r="AB246" s="6">
        <v>1225.7</v>
      </c>
      <c r="AC246" s="3" t="s">
        <v>297</v>
      </c>
      <c r="AD246" s="3" t="s">
        <v>56</v>
      </c>
    </row>
    <row r="247" spans="1:30">
      <c r="A247" s="2">
        <v>46167</v>
      </c>
      <c r="B247" s="3" t="s">
        <v>30</v>
      </c>
      <c r="C247" s="3" t="s">
        <v>31</v>
      </c>
      <c r="D247" s="3" t="s">
        <v>38</v>
      </c>
      <c r="E247" s="3" t="s">
        <v>52</v>
      </c>
      <c r="F247" s="3" t="s">
        <v>47</v>
      </c>
      <c r="G247" s="4">
        <v>106</v>
      </c>
      <c r="H247" s="4">
        <v>92.43</v>
      </c>
      <c r="I247" s="4">
        <v>98.06</v>
      </c>
      <c r="J247" s="4">
        <v>8.01</v>
      </c>
      <c r="K247" s="4">
        <v>7.68</v>
      </c>
      <c r="L247" s="4">
        <v>19.7</v>
      </c>
      <c r="M247" s="4">
        <v>17.5</v>
      </c>
      <c r="N247" s="4">
        <v>134.26</v>
      </c>
      <c r="O247" s="4">
        <v>1802.8</v>
      </c>
      <c r="P247" s="5">
        <v>5.74E-2</v>
      </c>
      <c r="Q247" s="5">
        <v>0.94259999999999999</v>
      </c>
      <c r="R247" s="5">
        <v>4.1399999999999999E-2</v>
      </c>
      <c r="S247" s="5">
        <v>8.8999999999999999E-3</v>
      </c>
      <c r="T247" s="5">
        <v>0.88249999999999995</v>
      </c>
      <c r="U247" s="5">
        <v>0.73129999999999995</v>
      </c>
      <c r="V247" s="5">
        <v>0.872</v>
      </c>
      <c r="W247" s="4">
        <v>0.6885</v>
      </c>
      <c r="X247" s="6">
        <v>62227.519999999997</v>
      </c>
      <c r="Y247" s="6">
        <v>20381</v>
      </c>
      <c r="Z247" s="6">
        <v>4965.5</v>
      </c>
      <c r="AA247" s="6">
        <v>92914.77</v>
      </c>
      <c r="AB247" s="6">
        <v>1005.22</v>
      </c>
      <c r="AC247" s="3" t="s">
        <v>298</v>
      </c>
      <c r="AD247" s="3" t="s">
        <v>36</v>
      </c>
    </row>
    <row r="248" spans="1:30">
      <c r="A248" s="2">
        <v>46168</v>
      </c>
      <c r="B248" s="3" t="s">
        <v>30</v>
      </c>
      <c r="C248" s="3" t="s">
        <v>42</v>
      </c>
      <c r="D248" s="3" t="s">
        <v>32</v>
      </c>
      <c r="E248" s="3" t="s">
        <v>33</v>
      </c>
      <c r="F248" s="3" t="s">
        <v>34</v>
      </c>
      <c r="G248" s="4">
        <v>80.47</v>
      </c>
      <c r="H248" s="4">
        <v>98.02</v>
      </c>
      <c r="I248" s="4">
        <v>99.28</v>
      </c>
      <c r="J248" s="4">
        <v>7.23</v>
      </c>
      <c r="K248" s="4">
        <v>7.12</v>
      </c>
      <c r="L248" s="4">
        <v>6.5</v>
      </c>
      <c r="M248" s="4">
        <v>18.600000000000001</v>
      </c>
      <c r="N248" s="4">
        <v>132.66999999999999</v>
      </c>
      <c r="O248" s="4">
        <v>1846</v>
      </c>
      <c r="P248" s="5">
        <v>1.2699999999999999E-2</v>
      </c>
      <c r="Q248" s="5">
        <v>0.98729999999999996</v>
      </c>
      <c r="R248" s="5">
        <v>4.02E-2</v>
      </c>
      <c r="S248" s="5">
        <v>1.12E-2</v>
      </c>
      <c r="T248" s="5">
        <v>0.82189999999999996</v>
      </c>
      <c r="U248" s="5">
        <v>0.84050000000000002</v>
      </c>
      <c r="V248" s="5">
        <v>1.2181999999999999</v>
      </c>
      <c r="W248" s="4">
        <v>0.73880000000000001</v>
      </c>
      <c r="X248" s="6">
        <v>86605.37</v>
      </c>
      <c r="Y248" s="6">
        <v>22363.88</v>
      </c>
      <c r="Z248" s="6">
        <v>4267.3599999999997</v>
      </c>
      <c r="AA248" s="6">
        <v>119312.48</v>
      </c>
      <c r="AB248" s="6">
        <v>1217.17</v>
      </c>
      <c r="AC248" s="3" t="s">
        <v>299</v>
      </c>
      <c r="AD248" s="3" t="s">
        <v>36</v>
      </c>
    </row>
    <row r="249" spans="1:30">
      <c r="A249" s="2">
        <v>46169</v>
      </c>
      <c r="B249" s="3" t="s">
        <v>30</v>
      </c>
      <c r="C249" s="3" t="s">
        <v>42</v>
      </c>
      <c r="D249" s="3" t="s">
        <v>45</v>
      </c>
      <c r="E249" s="3" t="s">
        <v>52</v>
      </c>
      <c r="F249" s="3" t="s">
        <v>47</v>
      </c>
      <c r="G249" s="4">
        <v>126.33</v>
      </c>
      <c r="H249" s="4">
        <v>131.36000000000001</v>
      </c>
      <c r="I249" s="4">
        <v>134.55000000000001</v>
      </c>
      <c r="J249" s="4">
        <v>7.27</v>
      </c>
      <c r="K249" s="4">
        <v>7.07</v>
      </c>
      <c r="L249" s="4">
        <v>12.3</v>
      </c>
      <c r="M249" s="4">
        <v>12.6</v>
      </c>
      <c r="N249" s="4">
        <v>88.75</v>
      </c>
      <c r="O249" s="4">
        <v>2260.5</v>
      </c>
      <c r="P249" s="5">
        <v>2.3699999999999999E-2</v>
      </c>
      <c r="Q249" s="5">
        <v>0.97629999999999995</v>
      </c>
      <c r="R249" s="5">
        <v>3.09E-2</v>
      </c>
      <c r="S249" s="5">
        <v>4.8999999999999998E-3</v>
      </c>
      <c r="T249" s="5">
        <v>0.80740000000000001</v>
      </c>
      <c r="U249" s="5">
        <v>0.81189999999999996</v>
      </c>
      <c r="V249" s="5">
        <v>1.0398000000000001</v>
      </c>
      <c r="W249" s="4">
        <v>1.4801</v>
      </c>
      <c r="X249" s="6">
        <v>97713.84</v>
      </c>
      <c r="Y249" s="6">
        <v>15161.29</v>
      </c>
      <c r="Z249" s="6">
        <v>6211.09</v>
      </c>
      <c r="AA249" s="6">
        <v>123755.74</v>
      </c>
      <c r="AB249" s="6">
        <v>942.12</v>
      </c>
      <c r="AC249" s="3" t="s">
        <v>300</v>
      </c>
      <c r="AD249" s="3" t="s">
        <v>36</v>
      </c>
    </row>
    <row r="250" spans="1:30">
      <c r="A250" s="2">
        <v>46170</v>
      </c>
      <c r="B250" s="3" t="s">
        <v>30</v>
      </c>
      <c r="C250" s="3" t="s">
        <v>42</v>
      </c>
      <c r="D250" s="3" t="s">
        <v>45</v>
      </c>
      <c r="E250" s="3" t="s">
        <v>52</v>
      </c>
      <c r="F250" s="3" t="s">
        <v>47</v>
      </c>
      <c r="G250" s="4">
        <v>118.13</v>
      </c>
      <c r="H250" s="4">
        <v>144.69</v>
      </c>
      <c r="I250" s="4">
        <v>148.56</v>
      </c>
      <c r="J250" s="4">
        <v>8.4600000000000009</v>
      </c>
      <c r="K250" s="4">
        <v>8.36</v>
      </c>
      <c r="L250" s="4">
        <v>5.9</v>
      </c>
      <c r="M250" s="4">
        <v>17.5</v>
      </c>
      <c r="N250" s="4">
        <v>145.97999999999999</v>
      </c>
      <c r="O250" s="4">
        <v>2353.6</v>
      </c>
      <c r="P250" s="5">
        <v>2.5999999999999999E-2</v>
      </c>
      <c r="Q250" s="5">
        <v>0.97399999999999998</v>
      </c>
      <c r="R250" s="5">
        <v>6.4000000000000003E-3</v>
      </c>
      <c r="S250" s="5">
        <v>1.32E-2</v>
      </c>
      <c r="T250" s="5">
        <v>0.90820000000000001</v>
      </c>
      <c r="U250" s="5">
        <v>0.93010000000000004</v>
      </c>
      <c r="V250" s="5">
        <v>1.2249000000000001</v>
      </c>
      <c r="W250" s="4">
        <v>0.99119999999999997</v>
      </c>
      <c r="X250" s="6">
        <v>121273.98</v>
      </c>
      <c r="Y250" s="6">
        <v>22074.89</v>
      </c>
      <c r="Z250" s="6">
        <v>5090.1099999999997</v>
      </c>
      <c r="AA250" s="6">
        <v>153104.48000000001</v>
      </c>
      <c r="AB250" s="6">
        <v>1058.1500000000001</v>
      </c>
      <c r="AC250" s="3" t="s">
        <v>301</v>
      </c>
      <c r="AD250" s="3" t="s">
        <v>36</v>
      </c>
    </row>
    <row r="251" spans="1:30">
      <c r="A251" s="2">
        <v>46171</v>
      </c>
      <c r="B251" s="3" t="s">
        <v>30</v>
      </c>
      <c r="C251" s="3" t="s">
        <v>31</v>
      </c>
      <c r="D251" s="3" t="s">
        <v>32</v>
      </c>
      <c r="E251" s="3" t="s">
        <v>39</v>
      </c>
      <c r="F251" s="3" t="s">
        <v>40</v>
      </c>
      <c r="G251" s="4">
        <v>133.66</v>
      </c>
      <c r="H251" s="4">
        <v>88.63</v>
      </c>
      <c r="I251" s="4">
        <v>93.01</v>
      </c>
      <c r="J251" s="4">
        <v>7.64</v>
      </c>
      <c r="K251" s="4">
        <v>7.52</v>
      </c>
      <c r="L251" s="4">
        <v>7.1</v>
      </c>
      <c r="M251" s="4">
        <v>13.3</v>
      </c>
      <c r="N251" s="4">
        <v>100.14</v>
      </c>
      <c r="O251" s="4">
        <v>1819.3</v>
      </c>
      <c r="P251" s="5">
        <v>4.7100000000000003E-2</v>
      </c>
      <c r="Q251" s="5">
        <v>0.95289999999999997</v>
      </c>
      <c r="R251" s="5">
        <v>1.34E-2</v>
      </c>
      <c r="S251" s="5">
        <v>1.3599999999999999E-2</v>
      </c>
      <c r="T251" s="5">
        <v>0.87070000000000003</v>
      </c>
      <c r="U251" s="5">
        <v>0.56059999999999999</v>
      </c>
      <c r="V251" s="5">
        <v>0.66310000000000002</v>
      </c>
      <c r="W251" s="4">
        <v>0.8851</v>
      </c>
      <c r="X251" s="6">
        <v>73417.25</v>
      </c>
      <c r="Y251" s="6">
        <v>16638.48</v>
      </c>
      <c r="Z251" s="6">
        <v>4121.67</v>
      </c>
      <c r="AA251" s="6">
        <v>97759.45</v>
      </c>
      <c r="AB251" s="6">
        <v>1103.04</v>
      </c>
      <c r="AC251" s="3" t="s">
        <v>302</v>
      </c>
      <c r="AD251" s="3" t="s">
        <v>36</v>
      </c>
    </row>
    <row r="252" spans="1:30">
      <c r="A252" s="2">
        <v>46172</v>
      </c>
      <c r="B252" s="3" t="s">
        <v>30</v>
      </c>
      <c r="C252" s="3" t="s">
        <v>37</v>
      </c>
      <c r="D252" s="3" t="s">
        <v>45</v>
      </c>
      <c r="E252" s="3" t="s">
        <v>62</v>
      </c>
      <c r="F252" s="3" t="s">
        <v>63</v>
      </c>
      <c r="G252" s="4">
        <v>73.67</v>
      </c>
      <c r="H252" s="4">
        <v>99.85</v>
      </c>
      <c r="I252" s="4">
        <v>104.94</v>
      </c>
      <c r="J252" s="4">
        <v>8.0399999999999991</v>
      </c>
      <c r="K252" s="4">
        <v>7.87</v>
      </c>
      <c r="L252" s="4">
        <v>10.4</v>
      </c>
      <c r="M252" s="4">
        <v>16.100000000000001</v>
      </c>
      <c r="N252" s="4">
        <v>126.84</v>
      </c>
      <c r="O252" s="4">
        <v>1867.8</v>
      </c>
      <c r="P252" s="5">
        <v>4.8500000000000001E-2</v>
      </c>
      <c r="Q252" s="5">
        <v>0.95150000000000001</v>
      </c>
      <c r="R252" s="5">
        <v>2.4199999999999999E-2</v>
      </c>
      <c r="S252" s="5">
        <v>1E-3</v>
      </c>
      <c r="T252" s="5">
        <v>0.84819999999999995</v>
      </c>
      <c r="U252" s="5">
        <v>0.87050000000000005</v>
      </c>
      <c r="V252" s="5">
        <v>1.3554999999999999</v>
      </c>
      <c r="W252" s="4">
        <v>0.78720000000000001</v>
      </c>
      <c r="X252" s="6">
        <v>86239.69</v>
      </c>
      <c r="Y252" s="6">
        <v>18760.73</v>
      </c>
      <c r="Z252" s="6">
        <v>4667.3100000000004</v>
      </c>
      <c r="AA252" s="6">
        <v>114173.58</v>
      </c>
      <c r="AB252" s="6">
        <v>1143.44</v>
      </c>
      <c r="AC252" s="3" t="s">
        <v>303</v>
      </c>
      <c r="AD252" s="3" t="s">
        <v>36</v>
      </c>
    </row>
    <row r="253" spans="1:30">
      <c r="A253" s="2">
        <v>46173</v>
      </c>
      <c r="B253" s="3" t="s">
        <v>30</v>
      </c>
      <c r="C253" s="3" t="s">
        <v>31</v>
      </c>
      <c r="D253" s="3" t="s">
        <v>32</v>
      </c>
      <c r="E253" s="3" t="s">
        <v>39</v>
      </c>
      <c r="F253" s="3" t="s">
        <v>40</v>
      </c>
      <c r="G253" s="4">
        <v>118.48</v>
      </c>
      <c r="H253" s="4">
        <v>113.89</v>
      </c>
      <c r="I253" s="4">
        <v>117.13</v>
      </c>
      <c r="J253" s="4">
        <v>7.88</v>
      </c>
      <c r="K253" s="4">
        <v>7.34</v>
      </c>
      <c r="L253" s="4">
        <v>32.799999999999997</v>
      </c>
      <c r="M253" s="4">
        <v>15.4</v>
      </c>
      <c r="N253" s="4">
        <v>113.32</v>
      </c>
      <c r="O253" s="4">
        <v>2111.1999999999998</v>
      </c>
      <c r="P253" s="5">
        <v>2.7699999999999999E-2</v>
      </c>
      <c r="Q253" s="5">
        <v>0.97230000000000005</v>
      </c>
      <c r="R253" s="5">
        <v>1.7399999999999999E-2</v>
      </c>
      <c r="S253" s="5">
        <v>1.6899999999999998E-2</v>
      </c>
      <c r="T253" s="5">
        <v>0.78700000000000003</v>
      </c>
      <c r="U253" s="5">
        <v>0.69220000000000004</v>
      </c>
      <c r="V253" s="5">
        <v>0.96120000000000005</v>
      </c>
      <c r="W253" s="4">
        <v>1.0049999999999999</v>
      </c>
      <c r="X253" s="6">
        <v>83032.87</v>
      </c>
      <c r="Y253" s="6">
        <v>17987.29</v>
      </c>
      <c r="Z253" s="6">
        <v>5870.03</v>
      </c>
      <c r="AA253" s="6">
        <v>112604.52</v>
      </c>
      <c r="AB253" s="6">
        <v>988.75</v>
      </c>
      <c r="AC253" s="3" t="s">
        <v>304</v>
      </c>
      <c r="AD253" s="3" t="s">
        <v>36</v>
      </c>
    </row>
    <row r="254" spans="1:30">
      <c r="A254" s="2">
        <v>46174</v>
      </c>
      <c r="B254" s="3" t="s">
        <v>30</v>
      </c>
      <c r="C254" s="3" t="s">
        <v>31</v>
      </c>
      <c r="D254" s="3" t="s">
        <v>32</v>
      </c>
      <c r="E254" s="3" t="s">
        <v>43</v>
      </c>
      <c r="F254" s="3" t="s">
        <v>40</v>
      </c>
      <c r="G254" s="4">
        <v>110.14</v>
      </c>
      <c r="H254" s="4">
        <v>147.38999999999999</v>
      </c>
      <c r="I254" s="4">
        <v>156.16</v>
      </c>
      <c r="J254" s="4">
        <v>7.62</v>
      </c>
      <c r="K254" s="4">
        <v>7.23</v>
      </c>
      <c r="L254" s="4">
        <v>23.9</v>
      </c>
      <c r="M254" s="4">
        <v>16</v>
      </c>
      <c r="N254" s="4">
        <v>115.67</v>
      </c>
      <c r="O254" s="4">
        <v>2373.5</v>
      </c>
      <c r="P254" s="5">
        <v>5.62E-2</v>
      </c>
      <c r="Q254" s="5">
        <v>0.94379999999999997</v>
      </c>
      <c r="R254" s="5">
        <v>2.75E-2</v>
      </c>
      <c r="S254" s="5">
        <v>1.54E-2</v>
      </c>
      <c r="T254" s="5">
        <v>0.92859999999999998</v>
      </c>
      <c r="U254" s="5">
        <v>0.91</v>
      </c>
      <c r="V254" s="5">
        <v>1.3383</v>
      </c>
      <c r="W254" s="4">
        <v>1.2742</v>
      </c>
      <c r="X254" s="6">
        <v>103865.98</v>
      </c>
      <c r="Y254" s="6">
        <v>17882.03</v>
      </c>
      <c r="Z254" s="6">
        <v>6021.58</v>
      </c>
      <c r="AA254" s="6">
        <v>134599.82999999999</v>
      </c>
      <c r="AB254" s="6">
        <v>913.19</v>
      </c>
      <c r="AC254" s="3" t="s">
        <v>305</v>
      </c>
      <c r="AD254" s="3" t="s">
        <v>36</v>
      </c>
    </row>
    <row r="255" spans="1:30">
      <c r="A255" s="2">
        <v>46175</v>
      </c>
      <c r="B255" s="3" t="s">
        <v>30</v>
      </c>
      <c r="C255" s="3" t="s">
        <v>51</v>
      </c>
      <c r="D255" s="3" t="s">
        <v>32</v>
      </c>
      <c r="E255" s="3" t="s">
        <v>33</v>
      </c>
      <c r="F255" s="3" t="s">
        <v>34</v>
      </c>
      <c r="G255" s="4">
        <v>55.87</v>
      </c>
      <c r="H255" s="4">
        <v>166.75</v>
      </c>
      <c r="I255" s="4">
        <v>175.39</v>
      </c>
      <c r="J255" s="4">
        <v>7.68</v>
      </c>
      <c r="K255" s="4">
        <v>7.41</v>
      </c>
      <c r="L255" s="4">
        <v>16.5</v>
      </c>
      <c r="M255" s="4">
        <v>17.8</v>
      </c>
      <c r="N255" s="4">
        <v>132.05000000000001</v>
      </c>
      <c r="O255" s="4">
        <v>2530.1</v>
      </c>
      <c r="P255" s="5">
        <v>4.9299999999999997E-2</v>
      </c>
      <c r="Q255" s="5">
        <v>0.95069999999999999</v>
      </c>
      <c r="R255" s="5">
        <v>4.8000000000000001E-2</v>
      </c>
      <c r="S255" s="5">
        <v>6.4999999999999997E-3</v>
      </c>
      <c r="T255" s="5">
        <v>0.98</v>
      </c>
      <c r="U255" s="5">
        <v>0.98580000000000001</v>
      </c>
      <c r="V255" s="5">
        <v>2.9843000000000002</v>
      </c>
      <c r="W255" s="4">
        <v>1.2626999999999999</v>
      </c>
      <c r="X255" s="6">
        <v>118322.91</v>
      </c>
      <c r="Y255" s="6">
        <v>21573.82</v>
      </c>
      <c r="Z255" s="6">
        <v>6894.08</v>
      </c>
      <c r="AA255" s="6">
        <v>153785.22</v>
      </c>
      <c r="AB255" s="6">
        <v>922.27</v>
      </c>
      <c r="AC255" s="3" t="s">
        <v>306</v>
      </c>
      <c r="AD255" s="3" t="s">
        <v>36</v>
      </c>
    </row>
    <row r="256" spans="1:30">
      <c r="A256" s="2">
        <v>46176</v>
      </c>
      <c r="B256" s="3" t="s">
        <v>30</v>
      </c>
      <c r="C256" s="3" t="s">
        <v>37</v>
      </c>
      <c r="D256" s="3" t="s">
        <v>45</v>
      </c>
      <c r="E256" s="3" t="s">
        <v>46</v>
      </c>
      <c r="F256" s="3" t="s">
        <v>47</v>
      </c>
      <c r="G256" s="4">
        <v>128.19999999999999</v>
      </c>
      <c r="H256" s="4">
        <v>138.29</v>
      </c>
      <c r="I256" s="4">
        <v>143.19999999999999</v>
      </c>
      <c r="J256" s="4">
        <v>8.23</v>
      </c>
      <c r="K256" s="4">
        <v>8.0399999999999991</v>
      </c>
      <c r="L256" s="4">
        <v>11.5</v>
      </c>
      <c r="M256" s="4">
        <v>15.6</v>
      </c>
      <c r="N256" s="4">
        <v>125.75</v>
      </c>
      <c r="O256" s="4">
        <v>2262.1</v>
      </c>
      <c r="P256" s="5">
        <v>3.4299999999999997E-2</v>
      </c>
      <c r="Q256" s="5">
        <v>0.9657</v>
      </c>
      <c r="R256" s="5">
        <v>3.4599999999999999E-2</v>
      </c>
      <c r="S256" s="5">
        <v>7.4999999999999997E-3</v>
      </c>
      <c r="T256" s="5">
        <v>0.89870000000000005</v>
      </c>
      <c r="U256" s="5">
        <v>0.91479999999999995</v>
      </c>
      <c r="V256" s="5">
        <v>1.0786</v>
      </c>
      <c r="W256" s="4">
        <v>1.0996999999999999</v>
      </c>
      <c r="X256" s="6">
        <v>102746.86</v>
      </c>
      <c r="Y256" s="6">
        <v>23970.02</v>
      </c>
      <c r="Z256" s="6">
        <v>6324.34</v>
      </c>
      <c r="AA256" s="6">
        <v>139329.07999999999</v>
      </c>
      <c r="AB256" s="6">
        <v>1007.53</v>
      </c>
      <c r="AC256" s="3" t="s">
        <v>307</v>
      </c>
      <c r="AD256" s="3" t="s">
        <v>36</v>
      </c>
    </row>
    <row r="257" spans="1:30">
      <c r="A257" s="2">
        <v>46177</v>
      </c>
      <c r="B257" s="3" t="s">
        <v>30</v>
      </c>
      <c r="C257" s="3" t="s">
        <v>37</v>
      </c>
      <c r="D257" s="3" t="s">
        <v>32</v>
      </c>
      <c r="E257" s="3" t="s">
        <v>46</v>
      </c>
      <c r="F257" s="3" t="s">
        <v>47</v>
      </c>
      <c r="G257" s="4">
        <v>61.72</v>
      </c>
      <c r="H257" s="4">
        <v>73.11</v>
      </c>
      <c r="I257" s="4">
        <v>76.180000000000007</v>
      </c>
      <c r="J257" s="4">
        <v>7.8</v>
      </c>
      <c r="K257" s="4">
        <v>7.67</v>
      </c>
      <c r="L257" s="4">
        <v>8.1</v>
      </c>
      <c r="M257" s="4">
        <v>15.7</v>
      </c>
      <c r="N257" s="4">
        <v>120.45</v>
      </c>
      <c r="O257" s="4">
        <v>1612.7</v>
      </c>
      <c r="P257" s="5">
        <v>4.0399999999999998E-2</v>
      </c>
      <c r="Q257" s="5">
        <v>0.95960000000000001</v>
      </c>
      <c r="R257" s="5">
        <v>1.9300000000000001E-2</v>
      </c>
      <c r="S257" s="5">
        <v>2.0400000000000001E-2</v>
      </c>
      <c r="T257" s="5">
        <v>0.72119999999999995</v>
      </c>
      <c r="U257" s="5">
        <v>0.72909999999999997</v>
      </c>
      <c r="V257" s="5">
        <v>1.1845000000000001</v>
      </c>
      <c r="W257" s="4">
        <v>0.6069</v>
      </c>
      <c r="X257" s="6">
        <v>58901.43</v>
      </c>
      <c r="Y257" s="6">
        <v>21541.15</v>
      </c>
      <c r="Z257" s="6">
        <v>4002.58</v>
      </c>
      <c r="AA257" s="6">
        <v>87850.15</v>
      </c>
      <c r="AB257" s="6">
        <v>1201.67</v>
      </c>
      <c r="AC257" s="3" t="s">
        <v>308</v>
      </c>
      <c r="AD257" s="3" t="s">
        <v>36</v>
      </c>
    </row>
    <row r="258" spans="1:30">
      <c r="A258" s="2">
        <v>46178</v>
      </c>
      <c r="B258" s="3" t="s">
        <v>30</v>
      </c>
      <c r="C258" s="3" t="s">
        <v>51</v>
      </c>
      <c r="D258" s="3" t="s">
        <v>32</v>
      </c>
      <c r="E258" s="3" t="s">
        <v>52</v>
      </c>
      <c r="F258" s="3" t="s">
        <v>47</v>
      </c>
      <c r="G258" s="4">
        <v>68.650000000000006</v>
      </c>
      <c r="H258" s="4">
        <v>141.66</v>
      </c>
      <c r="I258" s="4">
        <v>147.06</v>
      </c>
      <c r="J258" s="4">
        <v>7.75</v>
      </c>
      <c r="K258" s="4">
        <v>7.66</v>
      </c>
      <c r="L258" s="4">
        <v>5.5</v>
      </c>
      <c r="M258" s="4">
        <v>17.3</v>
      </c>
      <c r="N258" s="4">
        <v>132.44</v>
      </c>
      <c r="O258" s="4">
        <v>2253</v>
      </c>
      <c r="P258" s="5">
        <v>3.6700000000000003E-2</v>
      </c>
      <c r="Q258" s="5">
        <v>0.96330000000000005</v>
      </c>
      <c r="R258" s="5">
        <v>2E-3</v>
      </c>
      <c r="S258" s="5">
        <v>1.26E-2</v>
      </c>
      <c r="T258" s="5">
        <v>0.81279999999999997</v>
      </c>
      <c r="U258" s="5">
        <v>0.8327</v>
      </c>
      <c r="V258" s="5">
        <v>2.0634999999999999</v>
      </c>
      <c r="W258" s="4">
        <v>1.0696000000000001</v>
      </c>
      <c r="X258" s="6">
        <v>98619.36</v>
      </c>
      <c r="Y258" s="6">
        <v>24466.11</v>
      </c>
      <c r="Z258" s="6">
        <v>6168.31</v>
      </c>
      <c r="AA258" s="6">
        <v>134796.35</v>
      </c>
      <c r="AB258" s="6">
        <v>951.54</v>
      </c>
      <c r="AC258" s="3" t="s">
        <v>309</v>
      </c>
      <c r="AD258" s="3" t="s">
        <v>75</v>
      </c>
    </row>
    <row r="259" spans="1:30">
      <c r="A259" s="2">
        <v>46179</v>
      </c>
      <c r="B259" s="3" t="s">
        <v>30</v>
      </c>
      <c r="C259" s="3" t="s">
        <v>37</v>
      </c>
      <c r="D259" s="3" t="s">
        <v>45</v>
      </c>
      <c r="E259" s="3" t="s">
        <v>52</v>
      </c>
      <c r="F259" s="3" t="s">
        <v>47</v>
      </c>
      <c r="G259" s="4">
        <v>147.15</v>
      </c>
      <c r="H259" s="4">
        <v>105.21</v>
      </c>
      <c r="I259" s="4">
        <v>110.98</v>
      </c>
      <c r="J259" s="4">
        <v>7.54</v>
      </c>
      <c r="K259" s="4">
        <v>7.17</v>
      </c>
      <c r="L259" s="4">
        <v>21.9</v>
      </c>
      <c r="M259" s="4">
        <v>18.3</v>
      </c>
      <c r="N259" s="4">
        <v>131.16</v>
      </c>
      <c r="O259" s="4">
        <v>1947.3</v>
      </c>
      <c r="P259" s="5">
        <v>5.1999999999999998E-2</v>
      </c>
      <c r="Q259" s="5">
        <v>0.94799999999999995</v>
      </c>
      <c r="R259" s="5">
        <v>2.5700000000000001E-2</v>
      </c>
      <c r="S259" s="5">
        <v>8.3999999999999995E-3</v>
      </c>
      <c r="T259" s="5">
        <v>0.86939999999999995</v>
      </c>
      <c r="U259" s="5">
        <v>0.58660000000000001</v>
      </c>
      <c r="V259" s="5">
        <v>0.71499999999999997</v>
      </c>
      <c r="W259" s="4">
        <v>0.80210000000000004</v>
      </c>
      <c r="X259" s="6">
        <v>72069.100000000006</v>
      </c>
      <c r="Y259" s="6">
        <v>23593.21</v>
      </c>
      <c r="Z259" s="6">
        <v>4782.99</v>
      </c>
      <c r="AA259" s="6">
        <v>103267.7</v>
      </c>
      <c r="AB259" s="6">
        <v>981.54</v>
      </c>
      <c r="AC259" s="3" t="s">
        <v>310</v>
      </c>
      <c r="AD259" s="3" t="s">
        <v>36</v>
      </c>
    </row>
    <row r="260" spans="1:30">
      <c r="A260" s="2">
        <v>46180</v>
      </c>
      <c r="B260" s="3" t="s">
        <v>30</v>
      </c>
      <c r="C260" s="3" t="s">
        <v>42</v>
      </c>
      <c r="D260" s="3" t="s">
        <v>38</v>
      </c>
      <c r="E260" s="3" t="s">
        <v>39</v>
      </c>
      <c r="F260" s="3" t="s">
        <v>40</v>
      </c>
      <c r="G260" s="4">
        <v>112.75</v>
      </c>
      <c r="H260" s="4">
        <v>119.07</v>
      </c>
      <c r="I260" s="4">
        <v>124.9</v>
      </c>
      <c r="J260" s="4">
        <v>8.11</v>
      </c>
      <c r="K260" s="4">
        <v>7.89</v>
      </c>
      <c r="L260" s="4">
        <v>13.4</v>
      </c>
      <c r="M260" s="4">
        <v>13</v>
      </c>
      <c r="N260" s="4">
        <v>102.88</v>
      </c>
      <c r="O260" s="4">
        <v>1938.7</v>
      </c>
      <c r="P260" s="5">
        <v>4.6699999999999998E-2</v>
      </c>
      <c r="Q260" s="5">
        <v>0.95330000000000004</v>
      </c>
      <c r="R260" s="5">
        <v>1.9199999999999998E-2</v>
      </c>
      <c r="S260" s="5">
        <v>1.3299999999999999E-2</v>
      </c>
      <c r="T260" s="5">
        <v>0.69740000000000002</v>
      </c>
      <c r="U260" s="5">
        <v>0.70269999999999999</v>
      </c>
      <c r="V260" s="5">
        <v>1.056</v>
      </c>
      <c r="W260" s="4">
        <v>1.1574</v>
      </c>
      <c r="X260" s="6">
        <v>102369.29</v>
      </c>
      <c r="Y260" s="6">
        <v>15720.45</v>
      </c>
      <c r="Z260" s="6">
        <v>5387.39</v>
      </c>
      <c r="AA260" s="6">
        <v>130430.03</v>
      </c>
      <c r="AB260" s="6">
        <v>1095.42</v>
      </c>
      <c r="AC260" s="3" t="s">
        <v>311</v>
      </c>
      <c r="AD260" s="3" t="s">
        <v>36</v>
      </c>
    </row>
    <row r="261" spans="1:30">
      <c r="A261" s="2">
        <v>46181</v>
      </c>
      <c r="B261" s="3" t="s">
        <v>30</v>
      </c>
      <c r="C261" s="3" t="s">
        <v>31</v>
      </c>
      <c r="D261" s="3" t="s">
        <v>38</v>
      </c>
      <c r="E261" s="3" t="s">
        <v>33</v>
      </c>
      <c r="F261" s="3" t="s">
        <v>34</v>
      </c>
      <c r="G261" s="4">
        <v>91.11</v>
      </c>
      <c r="H261" s="4">
        <v>124.32</v>
      </c>
      <c r="I261" s="4">
        <v>137.1</v>
      </c>
      <c r="J261" s="4">
        <v>8.34</v>
      </c>
      <c r="K261" s="4">
        <v>8.02</v>
      </c>
      <c r="L261" s="4">
        <v>19.399999999999999</v>
      </c>
      <c r="M261" s="4">
        <v>15.8</v>
      </c>
      <c r="N261" s="4">
        <v>126.63</v>
      </c>
      <c r="O261" s="4">
        <v>2138.6999999999998</v>
      </c>
      <c r="P261" s="5">
        <v>9.3200000000000005E-2</v>
      </c>
      <c r="Q261" s="5">
        <v>0.90680000000000005</v>
      </c>
      <c r="R261" s="5">
        <v>3.6900000000000002E-2</v>
      </c>
      <c r="S261" s="5">
        <v>7.4000000000000003E-3</v>
      </c>
      <c r="T261" s="5">
        <v>0.79959999999999998</v>
      </c>
      <c r="U261" s="5">
        <v>0.80110000000000003</v>
      </c>
      <c r="V261" s="5">
        <v>1.3645</v>
      </c>
      <c r="W261" s="4">
        <v>0.98170000000000002</v>
      </c>
      <c r="X261" s="6">
        <v>90642.53</v>
      </c>
      <c r="Y261" s="6">
        <v>24091.18</v>
      </c>
      <c r="Z261" s="6">
        <v>5501.21</v>
      </c>
      <c r="AA261" s="6">
        <v>127050.84</v>
      </c>
      <c r="AB261" s="6">
        <v>1021.97</v>
      </c>
      <c r="AC261" s="3" t="s">
        <v>312</v>
      </c>
      <c r="AD261" s="3" t="s">
        <v>36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8" customWidth="1"/>
    <col min="2" max="2" width="58" customWidth="1"/>
    <col min="3" max="3" width="18" customWidth="1"/>
    <col min="4" max="4" width="24" customWidth="1"/>
  </cols>
  <sheetData>
    <row r="1" spans="1:4">
      <c r="A1" s="7" t="s">
        <v>313</v>
      </c>
      <c r="B1" s="7" t="s">
        <v>314</v>
      </c>
      <c r="C1" s="7" t="s">
        <v>315</v>
      </c>
      <c r="D1" s="7" t="s">
        <v>316</v>
      </c>
    </row>
    <row r="2" spans="1:4">
      <c r="A2" t="s">
        <v>0</v>
      </c>
      <c r="B2" t="s">
        <v>317</v>
      </c>
      <c r="C2" t="s">
        <v>318</v>
      </c>
      <c r="D2" t="s">
        <v>319</v>
      </c>
    </row>
    <row r="3" spans="1:4">
      <c r="A3" t="s">
        <v>1</v>
      </c>
      <c r="B3" t="s">
        <v>320</v>
      </c>
      <c r="C3" t="s">
        <v>321</v>
      </c>
      <c r="D3" t="s">
        <v>319</v>
      </c>
    </row>
    <row r="4" spans="1:4">
      <c r="A4" t="s">
        <v>2</v>
      </c>
      <c r="B4" t="s">
        <v>322</v>
      </c>
      <c r="C4" t="s">
        <v>321</v>
      </c>
      <c r="D4" t="s">
        <v>319</v>
      </c>
    </row>
    <row r="5" spans="1:4">
      <c r="A5" t="s">
        <v>3</v>
      </c>
      <c r="B5" t="s">
        <v>323</v>
      </c>
      <c r="C5" t="s">
        <v>321</v>
      </c>
      <c r="D5" t="s">
        <v>319</v>
      </c>
    </row>
    <row r="6" spans="1:4">
      <c r="A6" t="s">
        <v>4</v>
      </c>
      <c r="B6" t="s">
        <v>324</v>
      </c>
      <c r="C6" t="s">
        <v>321</v>
      </c>
      <c r="D6" t="s">
        <v>319</v>
      </c>
    </row>
    <row r="7" spans="1:4">
      <c r="A7" t="s">
        <v>5</v>
      </c>
      <c r="B7" t="s">
        <v>325</v>
      </c>
      <c r="C7" t="s">
        <v>321</v>
      </c>
      <c r="D7" t="s">
        <v>319</v>
      </c>
    </row>
    <row r="8" spans="1:4">
      <c r="A8" t="s">
        <v>6</v>
      </c>
      <c r="B8" t="s">
        <v>326</v>
      </c>
      <c r="C8" t="s">
        <v>327</v>
      </c>
      <c r="D8" t="s">
        <v>328</v>
      </c>
    </row>
    <row r="9" spans="1:4">
      <c r="A9" t="s">
        <v>7</v>
      </c>
      <c r="B9" t="s">
        <v>329</v>
      </c>
      <c r="C9" t="s">
        <v>327</v>
      </c>
      <c r="D9" t="s">
        <v>330</v>
      </c>
    </row>
    <row r="10" spans="1:4">
      <c r="A10" t="s">
        <v>8</v>
      </c>
      <c r="B10" t="s">
        <v>331</v>
      </c>
      <c r="C10" t="s">
        <v>327</v>
      </c>
      <c r="D10" t="s">
        <v>328</v>
      </c>
    </row>
    <row r="11" spans="1:4">
      <c r="A11" t="s">
        <v>9</v>
      </c>
      <c r="B11" t="s">
        <v>332</v>
      </c>
      <c r="C11" t="s">
        <v>333</v>
      </c>
      <c r="D11" t="s">
        <v>328</v>
      </c>
    </row>
    <row r="12" spans="1:4">
      <c r="A12" t="s">
        <v>10</v>
      </c>
      <c r="B12" t="s">
        <v>334</v>
      </c>
      <c r="C12" t="s">
        <v>333</v>
      </c>
      <c r="D12" t="s">
        <v>328</v>
      </c>
    </row>
    <row r="13" spans="1:4">
      <c r="A13" t="s">
        <v>11</v>
      </c>
      <c r="B13" t="s">
        <v>335</v>
      </c>
      <c r="C13" t="s">
        <v>336</v>
      </c>
      <c r="D13" t="s">
        <v>328</v>
      </c>
    </row>
    <row r="14" spans="1:4">
      <c r="A14" t="s">
        <v>12</v>
      </c>
      <c r="B14" t="s">
        <v>337</v>
      </c>
      <c r="C14" t="s">
        <v>338</v>
      </c>
      <c r="D14" t="s">
        <v>328</v>
      </c>
    </row>
    <row r="15" spans="1:4">
      <c r="A15" t="s">
        <v>13</v>
      </c>
      <c r="B15" t="s">
        <v>339</v>
      </c>
      <c r="C15" t="s">
        <v>340</v>
      </c>
      <c r="D15" t="s">
        <v>328</v>
      </c>
    </row>
    <row r="16" spans="1:4">
      <c r="A16" t="s">
        <v>14</v>
      </c>
      <c r="B16" t="s">
        <v>341</v>
      </c>
      <c r="C16" t="s">
        <v>342</v>
      </c>
      <c r="D16" t="s">
        <v>328</v>
      </c>
    </row>
    <row r="17" spans="1:4">
      <c r="A17" t="s">
        <v>15</v>
      </c>
      <c r="B17" t="s">
        <v>343</v>
      </c>
      <c r="C17" t="s">
        <v>344</v>
      </c>
      <c r="D17" t="s">
        <v>328</v>
      </c>
    </row>
    <row r="18" spans="1:4">
      <c r="A18" t="s">
        <v>16</v>
      </c>
      <c r="B18" t="s">
        <v>345</v>
      </c>
      <c r="C18" t="s">
        <v>344</v>
      </c>
      <c r="D18" t="s">
        <v>330</v>
      </c>
    </row>
    <row r="19" spans="1:4">
      <c r="A19" t="s">
        <v>17</v>
      </c>
      <c r="B19" t="s">
        <v>346</v>
      </c>
      <c r="C19" t="s">
        <v>344</v>
      </c>
      <c r="D19" t="s">
        <v>328</v>
      </c>
    </row>
    <row r="20" spans="1:4">
      <c r="A20" t="s">
        <v>18</v>
      </c>
      <c r="B20" t="s">
        <v>347</v>
      </c>
      <c r="C20" t="s">
        <v>344</v>
      </c>
      <c r="D20" t="s">
        <v>328</v>
      </c>
    </row>
    <row r="21" spans="1:4">
      <c r="A21" t="s">
        <v>19</v>
      </c>
      <c r="B21" t="s">
        <v>348</v>
      </c>
      <c r="C21" t="s">
        <v>344</v>
      </c>
      <c r="D21" t="s">
        <v>328</v>
      </c>
    </row>
    <row r="22" spans="1:4">
      <c r="A22" t="s">
        <v>20</v>
      </c>
      <c r="B22" t="s">
        <v>349</v>
      </c>
      <c r="C22" t="s">
        <v>344</v>
      </c>
      <c r="D22" t="s">
        <v>330</v>
      </c>
    </row>
    <row r="23" spans="1:4">
      <c r="A23" t="s">
        <v>21</v>
      </c>
      <c r="B23" t="s">
        <v>350</v>
      </c>
      <c r="C23" t="s">
        <v>344</v>
      </c>
      <c r="D23" t="s">
        <v>328</v>
      </c>
    </row>
    <row r="24" spans="1:4">
      <c r="A24" t="s">
        <v>22</v>
      </c>
      <c r="B24" t="s">
        <v>351</v>
      </c>
      <c r="C24" t="s">
        <v>352</v>
      </c>
      <c r="D24" t="s">
        <v>330</v>
      </c>
    </row>
    <row r="25" spans="1:4">
      <c r="A25" t="s">
        <v>23</v>
      </c>
      <c r="B25" t="s">
        <v>353</v>
      </c>
      <c r="C25" t="s">
        <v>354</v>
      </c>
      <c r="D25" t="s">
        <v>328</v>
      </c>
    </row>
    <row r="26" spans="1:4">
      <c r="A26" t="s">
        <v>24</v>
      </c>
      <c r="B26" t="s">
        <v>355</v>
      </c>
      <c r="C26" t="s">
        <v>354</v>
      </c>
      <c r="D26" t="s">
        <v>328</v>
      </c>
    </row>
    <row r="27" spans="1:4">
      <c r="A27" t="s">
        <v>25</v>
      </c>
      <c r="B27" t="s">
        <v>356</v>
      </c>
      <c r="C27" t="s">
        <v>354</v>
      </c>
      <c r="D27" t="s">
        <v>328</v>
      </c>
    </row>
    <row r="28" spans="1:4">
      <c r="A28" t="s">
        <v>26</v>
      </c>
      <c r="B28" t="s">
        <v>357</v>
      </c>
      <c r="C28" t="s">
        <v>354</v>
      </c>
      <c r="D28" t="s">
        <v>328</v>
      </c>
    </row>
    <row r="29" spans="1:4">
      <c r="A29" t="s">
        <v>27</v>
      </c>
      <c r="B29" t="s">
        <v>358</v>
      </c>
      <c r="C29" t="s">
        <v>359</v>
      </c>
      <c r="D29" t="s">
        <v>330</v>
      </c>
    </row>
    <row r="30" spans="1:4">
      <c r="A30" t="s">
        <v>28</v>
      </c>
      <c r="B30" t="s">
        <v>360</v>
      </c>
      <c r="C30" t="s">
        <v>321</v>
      </c>
      <c r="D30" t="s">
        <v>319</v>
      </c>
    </row>
    <row r="31" spans="1:4">
      <c r="A31" t="s">
        <v>29</v>
      </c>
      <c r="B31" t="s">
        <v>361</v>
      </c>
      <c r="C31" t="s">
        <v>321</v>
      </c>
      <c r="D31" t="s">
        <v>319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"/>
  <sheetViews>
    <sheetView showGridLines="0" workbookViewId="0"/>
  </sheetViews>
  <sheetFormatPr defaultRowHeight="15"/>
  <cols>
    <col min="1" max="1" width="31" customWidth="1"/>
    <col min="2" max="2" width="18" customWidth="1"/>
  </cols>
  <sheetData>
    <row r="1" spans="1:8">
      <c r="A1" s="16" t="s">
        <v>362</v>
      </c>
      <c r="B1" s="19"/>
      <c r="C1" s="19"/>
      <c r="D1" s="19"/>
      <c r="E1" s="19"/>
      <c r="F1" s="19"/>
      <c r="G1" s="19"/>
      <c r="H1" s="19"/>
    </row>
    <row r="3" spans="1:8">
      <c r="A3" s="8" t="s">
        <v>363</v>
      </c>
      <c r="B3" s="9">
        <f>SUM(Base_Datos!H2:H261)</f>
        <v>31011.579999999976</v>
      </c>
    </row>
    <row r="4" spans="1:8">
      <c r="A4" s="8" t="s">
        <v>364</v>
      </c>
      <c r="B4" s="10">
        <f>AVERAGE(Base_Datos!Q2:Q261)</f>
        <v>0.95270884615384566</v>
      </c>
    </row>
    <row r="5" spans="1:8">
      <c r="A5" s="8" t="s">
        <v>365</v>
      </c>
      <c r="B5" s="10">
        <f>AVERAGE(Base_Datos!U2:U261)</f>
        <v>0.773378846153846</v>
      </c>
    </row>
    <row r="6" spans="1:8">
      <c r="A6" s="8" t="s">
        <v>366</v>
      </c>
      <c r="B6" s="10">
        <f>SUM(Base_Datos!H2:H261)/SUM(Base_Datos!G2:G261)</f>
        <v>1.1593114018691573</v>
      </c>
    </row>
    <row r="7" spans="1:8">
      <c r="A7" s="8" t="s">
        <v>367</v>
      </c>
      <c r="B7" s="11">
        <f>SUM(Base_Datos!H2:H261)/SUM(Base_Datos!N2:N261)</f>
        <v>0.95679286782893069</v>
      </c>
    </row>
    <row r="8" spans="1:8">
      <c r="A8" s="8" t="s">
        <v>368</v>
      </c>
      <c r="B8" s="12">
        <f>SUM(Base_Datos!AA2:AA261)/SUM(Base_Datos!H2:H261)</f>
        <v>1047.4074855263748</v>
      </c>
    </row>
  </sheetData>
  <mergeCells count="1">
    <mergeCell ref="A1:H1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6"/>
  <sheetViews>
    <sheetView showGridLines="0" workbookViewId="0">
      <pane xSplit="1" ySplit="3" topLeftCell="B4" activePane="bottomRight" state="frozen"/>
      <selection pane="bottomRight"/>
      <selection pane="bottomLeft"/>
      <selection pane="topRight"/>
    </sheetView>
  </sheetViews>
  <sheetFormatPr defaultRowHeight="15"/>
  <cols>
    <col min="1" max="1" width="30" customWidth="1"/>
    <col min="2" max="14" width="12" customWidth="1"/>
  </cols>
  <sheetData>
    <row r="1" spans="1:14">
      <c r="A1" s="17" t="s">
        <v>369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3" spans="1:14">
      <c r="A3" s="13"/>
      <c r="B3" s="13" t="s">
        <v>7</v>
      </c>
      <c r="C3" s="13" t="s">
        <v>8</v>
      </c>
      <c r="D3" s="13" t="s">
        <v>11</v>
      </c>
      <c r="E3" s="13" t="s">
        <v>13</v>
      </c>
      <c r="F3" s="13" t="s">
        <v>14</v>
      </c>
      <c r="G3" s="13" t="s">
        <v>15</v>
      </c>
      <c r="H3" s="13" t="s">
        <v>16</v>
      </c>
      <c r="I3" s="13" t="s">
        <v>17</v>
      </c>
      <c r="J3" s="13" t="s">
        <v>18</v>
      </c>
      <c r="K3" s="13" t="s">
        <v>19</v>
      </c>
      <c r="L3" s="13" t="s">
        <v>20</v>
      </c>
      <c r="M3" s="13" t="s">
        <v>22</v>
      </c>
      <c r="N3" s="13" t="s">
        <v>27</v>
      </c>
    </row>
    <row r="4" spans="1:14">
      <c r="A4" s="14" t="s">
        <v>7</v>
      </c>
      <c r="B4" s="15">
        <v>1</v>
      </c>
      <c r="C4" s="15">
        <v>0.99522820038886084</v>
      </c>
      <c r="D4" s="15">
        <v>-0.1651562643881074</v>
      </c>
      <c r="E4" s="15">
        <v>0.19078894695583451</v>
      </c>
      <c r="F4" s="15">
        <v>0.90469760417428913</v>
      </c>
      <c r="G4" s="15">
        <v>-4.992031416611166E-2</v>
      </c>
      <c r="H4" s="15">
        <v>4.992031416611141E-2</v>
      </c>
      <c r="I4" s="15">
        <v>-0.1105871102362586</v>
      </c>
      <c r="J4" s="15">
        <v>-7.4671437906173546E-2</v>
      </c>
      <c r="K4" s="15">
        <v>0.44828486293585268</v>
      </c>
      <c r="L4" s="15">
        <v>0.64138428516649537</v>
      </c>
      <c r="M4" s="15">
        <v>0.64280678265450431</v>
      </c>
      <c r="N4" s="15">
        <v>-0.43732282878264261</v>
      </c>
    </row>
    <row r="5" spans="1:14">
      <c r="A5" s="14" t="s">
        <v>8</v>
      </c>
      <c r="B5" s="15">
        <v>0.99522820038886084</v>
      </c>
      <c r="C5" s="15">
        <v>1</v>
      </c>
      <c r="D5" s="15">
        <v>-0.162271323163169</v>
      </c>
      <c r="E5" s="15">
        <v>0.1917467829596205</v>
      </c>
      <c r="F5" s="15">
        <v>0.89953630099847437</v>
      </c>
      <c r="G5" s="15">
        <v>4.6287478087484422E-2</v>
      </c>
      <c r="H5" s="15">
        <v>-4.6287478087484797E-2</v>
      </c>
      <c r="I5" s="15">
        <v>-9.5494474421133554E-2</v>
      </c>
      <c r="J5" s="15">
        <v>-7.9650431567179339E-2</v>
      </c>
      <c r="K5" s="15">
        <v>0.43900746273692609</v>
      </c>
      <c r="L5" s="15">
        <v>0.63897151918677608</v>
      </c>
      <c r="M5" s="15">
        <v>0.63754845758388945</v>
      </c>
      <c r="N5" s="15">
        <v>-0.43294655219330053</v>
      </c>
    </row>
    <row r="6" spans="1:14">
      <c r="A6" s="14" t="s">
        <v>11</v>
      </c>
      <c r="B6" s="15">
        <v>-0.1651562643881074</v>
      </c>
      <c r="C6" s="15">
        <v>-0.162271323163169</v>
      </c>
      <c r="D6" s="15">
        <v>1</v>
      </c>
      <c r="E6" s="15">
        <v>-1.2252958305126901E-2</v>
      </c>
      <c r="F6" s="15">
        <v>-9.0119559400890521E-3</v>
      </c>
      <c r="G6" s="15">
        <v>4.7427192437926272E-2</v>
      </c>
      <c r="H6" s="15">
        <v>-4.74271924379258E-2</v>
      </c>
      <c r="I6" s="15">
        <v>2.399710966534423E-3</v>
      </c>
      <c r="J6" s="15">
        <v>0.1201317380492323</v>
      </c>
      <c r="K6" s="15">
        <v>-7.2559187882780249E-2</v>
      </c>
      <c r="L6" s="15">
        <v>-0.1801017027903582</v>
      </c>
      <c r="M6" s="15">
        <v>-0.101055332814532</v>
      </c>
      <c r="N6" s="15">
        <v>7.0147841064283623E-2</v>
      </c>
    </row>
    <row r="7" spans="1:14">
      <c r="A7" s="14" t="s">
        <v>13</v>
      </c>
      <c r="B7" s="15">
        <v>0.19078894695583451</v>
      </c>
      <c r="C7" s="15">
        <v>0.1917467829596205</v>
      </c>
      <c r="D7" s="15">
        <v>-1.2252958305126901E-2</v>
      </c>
      <c r="E7" s="15">
        <v>1</v>
      </c>
      <c r="F7" s="15">
        <v>0.17895144362584969</v>
      </c>
      <c r="G7" s="15">
        <v>-1.343346678707258E-3</v>
      </c>
      <c r="H7" s="15">
        <v>1.3433466787077519E-3</v>
      </c>
      <c r="I7" s="15">
        <v>9.0084532726900073E-3</v>
      </c>
      <c r="J7" s="15">
        <v>-2.2580630206632871E-2</v>
      </c>
      <c r="K7" s="15">
        <v>1.8983327833207189E-2</v>
      </c>
      <c r="L7" s="15">
        <v>0.164795445933342</v>
      </c>
      <c r="M7" s="15">
        <v>-0.60774702881382514</v>
      </c>
      <c r="N7" s="15">
        <v>0.1951110480396476</v>
      </c>
    </row>
    <row r="8" spans="1:14">
      <c r="A8" s="14" t="s">
        <v>14</v>
      </c>
      <c r="B8" s="15">
        <v>0.90469760417428913</v>
      </c>
      <c r="C8" s="15">
        <v>0.89953630099847437</v>
      </c>
      <c r="D8" s="15">
        <v>-9.0119559400890521E-3</v>
      </c>
      <c r="E8" s="15">
        <v>0.17895144362584969</v>
      </c>
      <c r="F8" s="15">
        <v>1</v>
      </c>
      <c r="G8" s="15">
        <v>-4.8406844665037453E-2</v>
      </c>
      <c r="H8" s="15">
        <v>4.8406844665037453E-2</v>
      </c>
      <c r="I8" s="15">
        <v>-0.12658846384328251</v>
      </c>
      <c r="J8" s="15">
        <v>9.0172490830936879E-3</v>
      </c>
      <c r="K8" s="15">
        <v>0.41144874847456547</v>
      </c>
      <c r="L8" s="15">
        <v>0.55258549290364545</v>
      </c>
      <c r="M8" s="15">
        <v>0.58574229122482091</v>
      </c>
      <c r="N8" s="15">
        <v>-0.38693742642167678</v>
      </c>
    </row>
    <row r="9" spans="1:14">
      <c r="A9" s="14" t="s">
        <v>15</v>
      </c>
      <c r="B9" s="15">
        <v>-4.992031416611166E-2</v>
      </c>
      <c r="C9" s="15">
        <v>4.6287478087484422E-2</v>
      </c>
      <c r="D9" s="15">
        <v>4.7427192437926272E-2</v>
      </c>
      <c r="E9" s="15">
        <v>-1.343346678707258E-3</v>
      </c>
      <c r="F9" s="15">
        <v>-4.8406844665037453E-2</v>
      </c>
      <c r="G9" s="15">
        <v>1</v>
      </c>
      <c r="H9" s="15">
        <v>-1.0000000000000011</v>
      </c>
      <c r="I9" s="15">
        <v>0.15835311532015661</v>
      </c>
      <c r="J9" s="15">
        <v>-6.3350802405199358E-2</v>
      </c>
      <c r="K9" s="15">
        <v>-0.1217297639758386</v>
      </c>
      <c r="L9" s="15">
        <v>-3.1735638531296739E-2</v>
      </c>
      <c r="M9" s="15">
        <v>-4.6655677164468223E-2</v>
      </c>
      <c r="N9" s="15">
        <v>4.6965235906029509E-2</v>
      </c>
    </row>
    <row r="10" spans="1:14">
      <c r="A10" s="14" t="s">
        <v>16</v>
      </c>
      <c r="B10" s="15">
        <v>4.992031416611141E-2</v>
      </c>
      <c r="C10" s="15">
        <v>-4.6287478087484797E-2</v>
      </c>
      <c r="D10" s="15">
        <v>-4.74271924379258E-2</v>
      </c>
      <c r="E10" s="15">
        <v>1.3433466787077519E-3</v>
      </c>
      <c r="F10" s="15">
        <v>4.8406844665037453E-2</v>
      </c>
      <c r="G10" s="15">
        <v>-1.0000000000000011</v>
      </c>
      <c r="H10" s="15">
        <v>1</v>
      </c>
      <c r="I10" s="15">
        <v>-0.15835311532015631</v>
      </c>
      <c r="J10" s="15">
        <v>6.3350802405198525E-2</v>
      </c>
      <c r="K10" s="15">
        <v>0.12172976397583921</v>
      </c>
      <c r="L10" s="15">
        <v>3.1735638531296739E-2</v>
      </c>
      <c r="M10" s="15">
        <v>4.6655677164467647E-2</v>
      </c>
      <c r="N10" s="15">
        <v>-4.6965235906028607E-2</v>
      </c>
    </row>
    <row r="11" spans="1:14">
      <c r="A11" s="14" t="s">
        <v>17</v>
      </c>
      <c r="B11" s="15">
        <v>-0.1105871102362586</v>
      </c>
      <c r="C11" s="15">
        <v>-9.5494474421133554E-2</v>
      </c>
      <c r="D11" s="15">
        <v>2.399710966534423E-3</v>
      </c>
      <c r="E11" s="15">
        <v>9.0084532726900073E-3</v>
      </c>
      <c r="F11" s="15">
        <v>-0.12658846384328251</v>
      </c>
      <c r="G11" s="15">
        <v>0.15835311532015661</v>
      </c>
      <c r="H11" s="15">
        <v>-0.15835311532015631</v>
      </c>
      <c r="I11" s="15">
        <v>1</v>
      </c>
      <c r="J11" s="15">
        <v>-1.7092853306393829E-2</v>
      </c>
      <c r="K11" s="15">
        <v>-0.14145560852886771</v>
      </c>
      <c r="L11" s="15">
        <v>-0.1085162041595179</v>
      </c>
      <c r="M11" s="15">
        <v>-8.5320236672247501E-2</v>
      </c>
      <c r="N11" s="15">
        <v>4.6135343940976438E-2</v>
      </c>
    </row>
    <row r="12" spans="1:14">
      <c r="A12" s="14" t="s">
        <v>18</v>
      </c>
      <c r="B12" s="15">
        <v>-7.4671437906173546E-2</v>
      </c>
      <c r="C12" s="15">
        <v>-7.9650431567179339E-2</v>
      </c>
      <c r="D12" s="15">
        <v>0.1201317380492323</v>
      </c>
      <c r="E12" s="15">
        <v>-2.2580630206632871E-2</v>
      </c>
      <c r="F12" s="15">
        <v>9.0172490830936879E-3</v>
      </c>
      <c r="G12" s="15">
        <v>-6.3350802405199358E-2</v>
      </c>
      <c r="H12" s="15">
        <v>6.3350802405198525E-2</v>
      </c>
      <c r="I12" s="15">
        <v>-1.7092853306393829E-2</v>
      </c>
      <c r="J12" s="15">
        <v>1</v>
      </c>
      <c r="K12" s="15">
        <v>-3.5839301330795111E-2</v>
      </c>
      <c r="L12" s="15">
        <v>-0.1052427917644176</v>
      </c>
      <c r="M12" s="15">
        <v>-4.8378093776102998E-2</v>
      </c>
      <c r="N12" s="15">
        <v>8.2579476900765489E-2</v>
      </c>
    </row>
    <row r="13" spans="1:14">
      <c r="A13" s="14" t="s">
        <v>19</v>
      </c>
      <c r="B13" s="15">
        <v>0.44828486293585268</v>
      </c>
      <c r="C13" s="15">
        <v>0.43900746273692609</v>
      </c>
      <c r="D13" s="15">
        <v>-7.2559187882780249E-2</v>
      </c>
      <c r="E13" s="15">
        <v>1.8983327833207189E-2</v>
      </c>
      <c r="F13" s="15">
        <v>0.41144874847456547</v>
      </c>
      <c r="G13" s="15">
        <v>-0.1217297639758386</v>
      </c>
      <c r="H13" s="15">
        <v>0.12172976397583921</v>
      </c>
      <c r="I13" s="15">
        <v>-0.14145560852886771</v>
      </c>
      <c r="J13" s="15">
        <v>-3.5839301330795111E-2</v>
      </c>
      <c r="K13" s="15">
        <v>1</v>
      </c>
      <c r="L13" s="15">
        <v>0.70055216964607503</v>
      </c>
      <c r="M13" s="15">
        <v>0.33085260167755259</v>
      </c>
      <c r="N13" s="15">
        <v>-0.303468741616926</v>
      </c>
    </row>
    <row r="14" spans="1:14">
      <c r="A14" s="14" t="s">
        <v>20</v>
      </c>
      <c r="B14" s="15">
        <v>0.64138428516649537</v>
      </c>
      <c r="C14" s="15">
        <v>0.63897151918677608</v>
      </c>
      <c r="D14" s="15">
        <v>-0.1801017027903582</v>
      </c>
      <c r="E14" s="15">
        <v>0.164795445933342</v>
      </c>
      <c r="F14" s="15">
        <v>0.55258549290364545</v>
      </c>
      <c r="G14" s="15">
        <v>-3.1735638531296739E-2</v>
      </c>
      <c r="H14" s="15">
        <v>3.1735638531296739E-2</v>
      </c>
      <c r="I14" s="15">
        <v>-0.1085162041595179</v>
      </c>
      <c r="J14" s="15">
        <v>-0.1052427917644176</v>
      </c>
      <c r="K14" s="15">
        <v>0.70055216964607503</v>
      </c>
      <c r="L14" s="15">
        <v>1</v>
      </c>
      <c r="M14" s="15">
        <v>0.37912202138865808</v>
      </c>
      <c r="N14" s="15">
        <v>-0.34412058010703339</v>
      </c>
    </row>
    <row r="15" spans="1:14">
      <c r="A15" s="14" t="s">
        <v>22</v>
      </c>
      <c r="B15" s="15">
        <v>0.64280678265450431</v>
      </c>
      <c r="C15" s="15">
        <v>0.63754845758388945</v>
      </c>
      <c r="D15" s="15">
        <v>-0.101055332814532</v>
      </c>
      <c r="E15" s="15">
        <v>-0.60774702881382514</v>
      </c>
      <c r="F15" s="15">
        <v>0.58574229122482091</v>
      </c>
      <c r="G15" s="15">
        <v>-4.6655677164468223E-2</v>
      </c>
      <c r="H15" s="15">
        <v>4.6655677164467647E-2</v>
      </c>
      <c r="I15" s="15">
        <v>-8.5320236672247501E-2</v>
      </c>
      <c r="J15" s="15">
        <v>-4.8378093776102998E-2</v>
      </c>
      <c r="K15" s="15">
        <v>0.33085260167755259</v>
      </c>
      <c r="L15" s="15">
        <v>0.37912202138865808</v>
      </c>
      <c r="M15" s="15">
        <v>1</v>
      </c>
      <c r="N15" s="15">
        <v>-0.48879473018061598</v>
      </c>
    </row>
    <row r="16" spans="1:14">
      <c r="A16" s="14" t="s">
        <v>27</v>
      </c>
      <c r="B16" s="15">
        <v>-0.43732282878264261</v>
      </c>
      <c r="C16" s="15">
        <v>-0.43294655219330053</v>
      </c>
      <c r="D16" s="15">
        <v>7.0147841064283623E-2</v>
      </c>
      <c r="E16" s="15">
        <v>0.1951110480396476</v>
      </c>
      <c r="F16" s="15">
        <v>-0.38693742642167678</v>
      </c>
      <c r="G16" s="15">
        <v>4.6965235906029509E-2</v>
      </c>
      <c r="H16" s="15">
        <v>-4.6965235906028607E-2</v>
      </c>
      <c r="I16" s="15">
        <v>4.6135343940976438E-2</v>
      </c>
      <c r="J16" s="15">
        <v>8.2579476900765489E-2</v>
      </c>
      <c r="K16" s="15">
        <v>-0.303468741616926</v>
      </c>
      <c r="L16" s="15">
        <v>-0.34412058010703339</v>
      </c>
      <c r="M16" s="15">
        <v>-0.48879473018061598</v>
      </c>
      <c r="N16" s="15">
        <v>1</v>
      </c>
    </row>
  </sheetData>
  <mergeCells count="1">
    <mergeCell ref="A1:N1"/>
  </mergeCells>
  <conditionalFormatting sqref="B4:N16">
    <cfRule type="colorScale" priority="1">
      <colorScale>
        <cfvo type="num" val="-1"/>
        <cfvo type="num" val="0"/>
        <cfvo type="num" val="1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"/>
  <sheetViews>
    <sheetView showGridLines="0" workbookViewId="0"/>
  </sheetViews>
  <sheetFormatPr defaultRowHeight="15"/>
  <cols>
    <col min="1" max="1" width="26" customWidth="1"/>
  </cols>
  <sheetData>
    <row r="1" spans="1:6">
      <c r="A1" s="20" t="s">
        <v>370</v>
      </c>
      <c r="B1" s="19"/>
      <c r="C1" s="19"/>
      <c r="D1" s="19"/>
      <c r="E1" s="19"/>
      <c r="F1" s="19"/>
    </row>
    <row r="3" spans="1:6" ht="36" customHeight="1">
      <c r="A3" s="18" t="s">
        <v>371</v>
      </c>
      <c r="B3" s="19"/>
      <c r="C3" s="19"/>
      <c r="D3" s="19"/>
      <c r="E3" s="19"/>
      <c r="F3" s="19"/>
    </row>
    <row r="4" spans="1:6" ht="36" customHeight="1">
      <c r="A4" s="18" t="s">
        <v>372</v>
      </c>
      <c r="B4" s="19"/>
      <c r="C4" s="19"/>
      <c r="D4" s="19"/>
      <c r="E4" s="19"/>
      <c r="F4" s="19"/>
    </row>
    <row r="5" spans="1:6" ht="36" customHeight="1">
      <c r="A5" s="18" t="s">
        <v>373</v>
      </c>
      <c r="B5" s="19"/>
      <c r="C5" s="19"/>
      <c r="D5" s="19"/>
      <c r="E5" s="19"/>
      <c r="F5" s="19"/>
    </row>
    <row r="6" spans="1:6" ht="36" customHeight="1">
      <c r="A6" s="18" t="s">
        <v>374</v>
      </c>
      <c r="B6" s="19"/>
      <c r="C6" s="19"/>
      <c r="D6" s="19"/>
      <c r="E6" s="19"/>
      <c r="F6" s="19"/>
    </row>
    <row r="7" spans="1:6" ht="36" customHeight="1">
      <c r="A7" s="18" t="s">
        <v>375</v>
      </c>
      <c r="B7" s="19"/>
      <c r="C7" s="19"/>
      <c r="D7" s="19"/>
      <c r="E7" s="19"/>
      <c r="F7" s="19"/>
    </row>
  </sheetData>
  <mergeCells count="6">
    <mergeCell ref="A7:F7"/>
    <mergeCell ref="A1:F1"/>
    <mergeCell ref="A5:F5"/>
    <mergeCell ref="A6:F6"/>
    <mergeCell ref="A4:F4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Avila, Alan</dc:creator>
  <cp:keywords/>
  <dc:description/>
  <cp:lastModifiedBy/>
  <cp:revision/>
  <dcterms:created xsi:type="dcterms:W3CDTF">2026-09-18T00:09:29Z</dcterms:created>
  <dcterms:modified xsi:type="dcterms:W3CDTF">2026-09-18T16:29:37Z</dcterms:modified>
  <cp:category/>
  <cp:contentStatus/>
</cp:coreProperties>
</file>